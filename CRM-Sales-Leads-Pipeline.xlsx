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التعليمات" sheetId="1" state="visible" r:id="rId1"/>
    <sheet name="لوحة التحليل والتقارير" sheetId="2" state="visible" r:id="rId2"/>
    <sheet name="الليدز" sheetId="3" state="visible" r:id="rId3"/>
    <sheet name="القوائم" sheetId="4" state="visible" r:id="rId4"/>
  </sheets>
  <definedNames>
    <definedName name="Stage_Names">القوائم!$B$4:$B$10</definedName>
    <definedName name="Stage_Prob">القوائم!$C$4:$C$10</definedName>
    <definedName name="Stage_Type">القوائم!$D$4:$D$10</definedName>
    <definedName name="Source_List">القوائم!$A$14:$A$21</definedName>
    <definedName name="Rep_List">القوائم!$A$25:$A$29</definedName>
    <definedName name="_xlnm._FilterDatabase" localSheetId="2" hidden="1">'الليدز'!$A$2:$Q$302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ج.م&quot;"/>
    <numFmt numFmtId="165" formatCode="yyyy-mm-dd"/>
    <numFmt numFmtId="166" formatCode="0.0%"/>
    <numFmt numFmtId="167" formatCode="0.0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1F3864"/>
      <sz val="13"/>
    </font>
    <font>
      <name val="Arial"/>
      <b val="1"/>
      <color rgb="002E5395"/>
      <sz val="10"/>
    </font>
    <font>
      <name val="Arial"/>
      <color rgb="00000000"/>
      <sz val="10.5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FFFFFF"/>
      <sz val="12"/>
    </font>
    <font>
      <name val="Arial"/>
      <b val="1"/>
      <color rgb="00FFFFFF"/>
      <sz val="16"/>
    </font>
    <font>
      <name val="Arial"/>
      <color rgb="00000000"/>
      <sz val="10"/>
    </font>
    <font>
      <name val="Arial"/>
      <i val="1"/>
      <color rgb="00808080"/>
      <sz val="9"/>
    </font>
    <font>
      <name val="Arial"/>
      <i val="1"/>
      <color rgb="00757575"/>
      <sz val="9"/>
    </font>
    <font>
      <name val="Arial"/>
      <b val="1"/>
      <color rgb="001F3864"/>
      <sz val="10"/>
    </font>
    <font>
      <name val="Arial"/>
      <b val="1"/>
      <color rgb="001F3864"/>
      <sz val="17"/>
    </font>
    <font>
      <name val="Arial"/>
      <b val="1"/>
      <color rgb="002E7D32"/>
      <sz val="10"/>
    </font>
    <font>
      <name val="Arial"/>
      <b val="1"/>
      <color rgb="002E7D32"/>
      <sz val="17"/>
    </font>
    <font>
      <name val="Arial"/>
      <b val="1"/>
      <color rgb="00FFFFFF"/>
      <sz val="9"/>
    </font>
    <font>
      <name val="Arial"/>
      <color rgb="002E7D32"/>
      <sz val="10"/>
    </font>
    <font>
      <i val="1"/>
      <color rgb="00AAAAAA"/>
      <sz val="8"/>
    </font>
    <font>
      <color rgb="00AAAAAA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9FC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2E5395"/>
      </patternFill>
    </fill>
  </fills>
  <borders count="4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D9E2F3"/>
      </left>
      <right style="medium">
        <color rgb="00D9E2F3"/>
      </right>
      <top style="medium">
        <color rgb="00D9E2F3"/>
      </top>
      <bottom style="medium">
        <color rgb="00D9E2F3"/>
      </bottom>
    </border>
    <border>
      <left style="medium">
        <color rgb="00E2F0D9"/>
      </left>
      <right style="medium">
        <color rgb="00E2F0D9"/>
      </right>
      <top style="medium">
        <color rgb="00E2F0D9"/>
      </top>
      <bottom style="medium">
        <color rgb="00E2F0D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0" borderId="0" applyAlignment="1" pivotButton="0" quotePrefix="0" xfId="0">
      <alignment horizontal="right" readingOrder="2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right" vertical="center" wrapText="1" readingOrder="2"/>
    </xf>
    <xf numFmtId="0" fontId="9" fillId="2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center" readingOrder="2"/>
    </xf>
    <xf numFmtId="0" fontId="13" fillId="4" borderId="2" applyAlignment="1" pivotButton="0" quotePrefix="0" xfId="0">
      <alignment horizontal="center" vertical="center" wrapText="1" readingOrder="2"/>
    </xf>
    <xf numFmtId="0" fontId="0" fillId="0" borderId="2" pivotButton="0" quotePrefix="0" xfId="0"/>
    <xf numFmtId="3" fontId="14" fillId="5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0" fontId="15" fillId="6" borderId="3" applyAlignment="1" pivotButton="0" quotePrefix="0" xfId="0">
      <alignment horizontal="center" vertical="center" wrapText="1" readingOrder="2"/>
    </xf>
    <xf numFmtId="0" fontId="0" fillId="0" borderId="3" pivotButton="0" quotePrefix="0" xfId="0"/>
    <xf numFmtId="166" fontId="16" fillId="5" borderId="3" applyAlignment="1" pivotButton="0" quotePrefix="0" xfId="0">
      <alignment horizontal="center" vertical="center"/>
    </xf>
    <xf numFmtId="164" fontId="16" fillId="5" borderId="3" applyAlignment="1" pivotButton="0" quotePrefix="0" xfId="0">
      <alignment horizontal="center" vertical="center"/>
    </xf>
    <xf numFmtId="167" fontId="16" fillId="5" borderId="3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readingOrder="2"/>
    </xf>
    <xf numFmtId="0" fontId="17" fillId="2" borderId="0" applyAlignment="1" pivotButton="0" quotePrefix="0" xfId="0">
      <alignment horizontal="center" vertical="center" wrapText="1" readingOrder="2"/>
    </xf>
    <xf numFmtId="0" fontId="19" fillId="0" borderId="0" pivotButton="0" quotePrefix="0" xfId="0"/>
    <xf numFmtId="0" fontId="18" fillId="0" borderId="1" applyAlignment="1" pivotButton="0" quotePrefix="0" xfId="0">
      <alignment horizontal="center" readingOrder="2"/>
    </xf>
    <xf numFmtId="0" fontId="10" fillId="0" borderId="1" applyAlignment="1" pivotButton="0" quotePrefix="0" xfId="0">
      <alignment horizontal="center" readingOrder="2"/>
    </xf>
    <xf numFmtId="164" fontId="10" fillId="0" borderId="1" applyAlignment="1" pivotButton="0" quotePrefix="0" xfId="0">
      <alignment horizontal="center" readingOrder="2"/>
    </xf>
    <xf numFmtId="166" fontId="10" fillId="0" borderId="1" applyAlignment="1" pivotButton="0" quotePrefix="0" xfId="0">
      <alignment horizontal="center" readingOrder="2"/>
    </xf>
    <xf numFmtId="0" fontId="20" fillId="0" borderId="0" pivotButton="0" quotePrefix="0" xfId="0"/>
    <xf numFmtId="0" fontId="18" fillId="3" borderId="1" applyAlignment="1" pivotButton="0" quotePrefix="0" xfId="0">
      <alignment horizontal="center" readingOrder="2"/>
    </xf>
    <xf numFmtId="0" fontId="10" fillId="3" borderId="1" applyAlignment="1" pivotButton="0" quotePrefix="0" xfId="0">
      <alignment horizontal="center" readingOrder="2"/>
    </xf>
    <xf numFmtId="164" fontId="10" fillId="3" borderId="1" applyAlignment="1" pivotButton="0" quotePrefix="0" xfId="0">
      <alignment horizontal="center" readingOrder="2"/>
    </xf>
    <xf numFmtId="166" fontId="10" fillId="3" borderId="1" applyAlignment="1" pivotButton="0" quotePrefix="0" xfId="0">
      <alignment horizontal="center" readingOrder="2"/>
    </xf>
    <xf numFmtId="0" fontId="6" fillId="2" borderId="0" applyAlignment="1" pivotButton="0" quotePrefix="0" xfId="0">
      <alignment horizontal="center" vertical="center" wrapText="1" readingOrder="2"/>
    </xf>
    <xf numFmtId="0" fontId="10" fillId="0" borderId="1" applyAlignment="1" pivotButton="0" quotePrefix="0" xfId="0">
      <alignment horizontal="center" vertical="center" readingOrder="2"/>
    </xf>
    <xf numFmtId="0" fontId="7" fillId="0" borderId="1" applyAlignment="1" pivotButton="0" quotePrefix="0" xfId="0">
      <alignment horizontal="right" vertical="center" readingOrder="2"/>
    </xf>
    <xf numFmtId="0" fontId="7" fillId="0" borderId="1" applyAlignment="1" pivotButton="0" quotePrefix="0" xfId="0">
      <alignment horizontal="center" vertical="center" readingOrder="2"/>
    </xf>
    <xf numFmtId="164" fontId="7" fillId="0" borderId="1" applyAlignment="1" pivotButton="0" quotePrefix="0" xfId="0">
      <alignment horizontal="center" vertical="center" readingOrder="2"/>
    </xf>
    <xf numFmtId="9" fontId="10" fillId="0" borderId="1" applyAlignment="1" pivotButton="0" quotePrefix="0" xfId="0">
      <alignment horizontal="center" vertical="center" readingOrder="2"/>
    </xf>
    <xf numFmtId="164" fontId="10" fillId="0" borderId="1" applyAlignment="1" pivotButton="0" quotePrefix="0" xfId="0">
      <alignment horizontal="center" vertical="center" readingOrder="2"/>
    </xf>
    <xf numFmtId="165" fontId="7" fillId="0" borderId="1" applyAlignment="1" pivotButton="0" quotePrefix="0" xfId="0">
      <alignment horizontal="center" vertical="center" readingOrder="2"/>
    </xf>
    <xf numFmtId="0" fontId="10" fillId="3" borderId="1" applyAlignment="1" pivotButton="0" quotePrefix="0" xfId="0">
      <alignment horizontal="center" vertical="center" readingOrder="2"/>
    </xf>
    <xf numFmtId="0" fontId="7" fillId="3" borderId="1" applyAlignment="1" pivotButton="0" quotePrefix="0" xfId="0">
      <alignment horizontal="right" vertical="center" readingOrder="2"/>
    </xf>
    <xf numFmtId="0" fontId="7" fillId="3" borderId="1" applyAlignment="1" pivotButton="0" quotePrefix="0" xfId="0">
      <alignment horizontal="center" vertical="center" readingOrder="2"/>
    </xf>
    <xf numFmtId="164" fontId="7" fillId="3" borderId="1" applyAlignment="1" pivotButton="0" quotePrefix="0" xfId="0">
      <alignment horizontal="center" vertical="center" readingOrder="2"/>
    </xf>
    <xf numFmtId="9" fontId="10" fillId="3" borderId="1" applyAlignment="1" pivotButton="0" quotePrefix="0" xfId="0">
      <alignment horizontal="center" vertical="center" readingOrder="2"/>
    </xf>
    <xf numFmtId="164" fontId="10" fillId="3" borderId="1" applyAlignment="1" pivotButton="0" quotePrefix="0" xfId="0">
      <alignment horizontal="center" vertical="center" readingOrder="2"/>
    </xf>
    <xf numFmtId="165" fontId="7" fillId="3" borderId="1" applyAlignment="1" pivotButton="0" quotePrefix="0" xfId="0">
      <alignment horizontal="center" vertical="center" readingOrder="2"/>
    </xf>
    <xf numFmtId="0" fontId="0" fillId="0" borderId="1" applyAlignment="1" pivotButton="0" quotePrefix="0" xfId="0">
      <alignment horizontal="right" vertical="center" readingOrder="2"/>
    </xf>
    <xf numFmtId="0" fontId="0" fillId="0" borderId="1" applyAlignment="1" pivotButton="0" quotePrefix="0" xfId="0">
      <alignment horizontal="center" vertical="center" readingOrder="2"/>
    </xf>
    <xf numFmtId="0" fontId="0" fillId="3" borderId="1" applyAlignment="1" pivotButton="0" quotePrefix="0" xfId="0">
      <alignment horizontal="right" vertical="center" readingOrder="2"/>
    </xf>
    <xf numFmtId="0" fontId="0" fillId="3" borderId="1" applyAlignment="1" pivotButton="0" quotePrefix="0" xfId="0">
      <alignment horizontal="center" vertical="center" readingOrder="2"/>
    </xf>
    <xf numFmtId="0" fontId="11" fillId="0" borderId="0" pivotButton="0" quotePrefix="0" xfId="0"/>
    <xf numFmtId="0" fontId="5" fillId="2" borderId="0" applyAlignment="1" pivotButton="0" quotePrefix="0" xfId="0">
      <alignment horizontal="center" vertical="center" readingOrder="2"/>
    </xf>
    <xf numFmtId="0" fontId="7" fillId="0" borderId="1" applyAlignment="1" pivotButton="0" quotePrefix="0" xfId="0">
      <alignment horizontal="center" readingOrder="2"/>
    </xf>
    <xf numFmtId="9" fontId="7" fillId="0" borderId="1" applyAlignment="1" pivotButton="0" quotePrefix="0" xfId="0">
      <alignment horizontal="center" readingOrder="2"/>
    </xf>
    <xf numFmtId="0" fontId="8" fillId="2" borderId="0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قمع المبيعات (عدد الليدز حسب المرحلة)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'لوحة التحليل والتقارير'!G13</f>
            </strRef>
          </tx>
          <spPr>
            <a:noFill/>
            <a:ln>
              <a:noFill/>
              <a:prstDash val="solid"/>
            </a:ln>
          </spPr>
          <cat>
            <numRef>
              <f>'لوحة التحليل والتقارير'!$A$14:$A$19</f>
            </numRef>
          </cat>
          <val>
            <numRef>
              <f>'لوحة التحليل والتقارير'!$G$14:$G$19</f>
            </numRef>
          </val>
        </ser>
        <ser>
          <idx val="1"/>
          <order val="1"/>
          <tx>
            <strRef>
              <f>'لوحة التحليل والتقارير'!H13</f>
            </strRef>
          </tx>
          <spPr>
            <a:solidFill>
              <a:srgbClr val="2E5395"/>
            </a:solidFill>
            <a:ln>
              <a:prstDash val="solid"/>
            </a:ln>
          </spPr>
          <dLbls>
            <showVal val="1"/>
          </dLbls>
          <cat>
            <numRef>
              <f>'لوحة التحليل والتقارير'!$A$14:$A$19</f>
            </numRef>
          </cat>
          <val>
            <numRef>
              <f>'لوحة التحليل والتقارير'!$H$14:$H$19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توزيع الليدز حسب المصدر</a:t>
            </a:r>
          </a:p>
        </rich>
      </tx>
    </title>
    <plotArea>
      <pieChart>
        <varyColors val="1"/>
        <ser>
          <idx val="0"/>
          <order val="0"/>
          <tx>
            <strRef>
              <f>'لوحة التحليل والتقارير'!B23</f>
            </strRef>
          </tx>
          <spPr>
            <a:ln>
              <a:prstDash val="solid"/>
            </a:ln>
          </spPr>
          <cat>
            <numRef>
              <f>'لوحة التحليل والتقارير'!$A$24:$A$31</f>
            </numRef>
          </cat>
          <val>
            <numRef>
              <f>'لوحة التحليل والتقارير'!$B$24:$B$31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قيمة الصفقات الفائزة حسب المندوب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'لوحة التحليل والتقارير'!D34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'لوحة التحليل والتقارير'!$A$35:$A$39</f>
            </numRef>
          </cat>
          <val>
            <numRef>
              <f>'لوحة التحليل والتقارير'!$D$35:$D$39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الليدز الجديدة مقابل الصفقات الفائزة شهريًا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'لوحة التحليل والتقارير'!B42</f>
            </strRef>
          </tx>
          <spPr>
            <a:solidFill>
              <a:srgbClr val="2E5395"/>
            </a:solidFill>
            <a:ln>
              <a:prstDash val="solid"/>
            </a:ln>
          </spPr>
          <cat>
            <numRef>
              <f>'لوحة التحليل والتقارير'!$A$43:$A$48</f>
            </numRef>
          </cat>
          <val>
            <numRef>
              <f>'لوحة التحليل والتقارير'!$B$43:$B$48</f>
            </numRef>
          </val>
        </ser>
        <ser>
          <idx val="1"/>
          <order val="1"/>
          <tx>
            <strRef>
              <f>'لوحة التحليل والتقارير'!C42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'لوحة التحليل والتقارير'!$A$43:$A$48</f>
            </numRef>
          </cat>
          <val>
            <numRef>
              <f>'لوحة التحليل والتقارير'!$C$43:$C$48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11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32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40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18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34" customHeight="1">
      <c r="A1" s="1" t="inlineStr">
        <is>
          <t>ملف إدارة علاقات العملاء (CRM) — قمع المبيعات والتقارير</t>
        </is>
      </c>
    </row>
    <row r="4" ht="22" customHeight="1">
      <c r="A4" s="2" t="inlineStr">
        <is>
          <t>كيفية استخدام الملف</t>
        </is>
      </c>
    </row>
    <row r="5" ht="30" customHeight="1">
      <c r="A5" s="3" t="inlineStr">
        <is>
          <t>1</t>
        </is>
      </c>
      <c r="B5" s="4" t="inlineStr">
        <is>
          <t>ورقة "الليدز" هي قاعدة بيانات العملاء المحتملين (Leads). أدخل بياناتك في الأعمدة الزرقاء فقط (الاسم، الشركة، البيانات، المصدر، المندوب، المرحلة، قيمة الصفقة، التواريخ).</t>
        </is>
      </c>
    </row>
    <row r="6" ht="30" customHeight="1">
      <c r="A6" s="3" t="inlineStr">
        <is>
          <t>2</t>
        </is>
      </c>
      <c r="B6" s="4" t="inlineStr">
        <is>
          <t>الأعمدة السوداء (الاحتمالية %، القيمة المرجحة، الحالة، عمر الفرصة) تُحسب تلقائيًا بمعادلات — لا تكتب فيها يدويًا.</t>
        </is>
      </c>
    </row>
    <row r="7" ht="30" customHeight="1">
      <c r="A7" s="3" t="inlineStr">
        <is>
          <t>3</t>
        </is>
      </c>
      <c r="B7" s="4" t="inlineStr">
        <is>
          <t>عمود "المرحلة" و"المصدر" و"المندوب" عبارة عن قوائم منسدلة (اضغط على الخلية وستظهر السهم).</t>
        </is>
      </c>
    </row>
    <row r="8" ht="30" customHeight="1">
      <c r="A8" s="3" t="inlineStr">
        <is>
          <t>4</t>
        </is>
      </c>
      <c r="B8" s="4" t="inlineStr">
        <is>
          <t>ورقة "القوائم" تحتوي على إعدادات المراحل (نسبة الإغلاق الافتراضية لكل مرحلة) ومصادر الليدز والمندوبين. يمكنك تعديلها لتناسب فريقك، وكل المعادلات ستتحدث تلقائيًا.</t>
        </is>
      </c>
    </row>
    <row r="9" ht="30" customHeight="1">
      <c r="A9" s="3" t="inlineStr">
        <is>
          <t>5</t>
        </is>
      </c>
      <c r="B9" s="4" t="inlineStr">
        <is>
          <t>ورقة "لوحة التحليل والتقارير" تعرض القمع البصري (Funnel) ومؤشرات الأداء (KPIs) والتقارير حسب المصدر والمندوب والشهر — كل الأرقام تُحدَّث تلقائيًا من ورقة الليدز.</t>
        </is>
      </c>
    </row>
    <row r="10" ht="30" customHeight="1">
      <c r="A10" s="3" t="inlineStr">
        <is>
          <t>6</t>
        </is>
      </c>
      <c r="B10" s="4" t="inlineStr">
        <is>
          <t>تم تجهيز 300 صف بالمعادلات في ورقة الليدز، فقط أضف بياناتك في أي صف فارغ واستمر للأسفل.</t>
        </is>
      </c>
    </row>
    <row r="12" ht="22" customHeight="1">
      <c r="A12" s="2" t="inlineStr">
        <is>
          <t>دليل الألوان</t>
        </is>
      </c>
    </row>
    <row r="13" ht="30" customHeight="1">
      <c r="A13" s="3" t="inlineStr"/>
      <c r="B13" s="4" t="inlineStr">
        <is>
          <t>نص أزرق = خلية إدخال يدوي (عدّلها بحرية).</t>
        </is>
      </c>
    </row>
    <row r="14" ht="30" customHeight="1">
      <c r="A14" s="3" t="inlineStr"/>
      <c r="B14" s="4" t="inlineStr">
        <is>
          <t>نص أسود = خلية معادلة (لا تُعدّل، تُحسب تلقائيًا).</t>
        </is>
      </c>
    </row>
    <row r="15" ht="30" customHeight="1">
      <c r="A15" s="3" t="inlineStr"/>
      <c r="B15" s="4" t="inlineStr">
        <is>
          <t>نص أخضر = رابط لورقة أخرى داخل نفس الملف.</t>
        </is>
      </c>
    </row>
    <row r="17" ht="22" customHeight="1">
      <c r="A17" s="2" t="inlineStr">
        <is>
          <t>ملاحظة</t>
        </is>
      </c>
    </row>
    <row r="18" ht="30" customHeight="1">
      <c r="A18" s="3" t="inlineStr"/>
      <c r="B18" s="4" t="inlineStr">
        <is>
          <t>البيانات الموجودة حاليًا في ورقة "الليدز" (٣٠ صفًا) هي بيانات تجريبية توضيحية فقط لإظهار عمل المعادلات والتقارير — احذفها واستبدلها ببيانات فريقك الفعلية.</t>
        </is>
      </c>
    </row>
  </sheetData>
  <mergeCells count="4">
    <mergeCell ref="A4:B4"/>
    <mergeCell ref="A17:B17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9A2E"/>
    <outlinePr summaryBelow="1" summaryRight="1"/>
    <pageSetUpPr/>
  </sheetPr>
  <dimension ref="A1:H48"/>
  <sheetViews>
    <sheetView showGridLines="0" rightToLeft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3" customWidth="1" min="5" max="5"/>
    <col width="4" customWidth="1" min="6" max="6"/>
    <col hidden="1" width="3" customWidth="1" min="7" max="7"/>
    <col hidden="1" width="3" customWidth="1" min="8" max="8"/>
    <col width="3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 ht="30" customHeight="1">
      <c r="A1" s="5" t="inlineStr">
        <is>
          <t>لوحة التحليل والتقارير — قمع المبيعات لليدز</t>
        </is>
      </c>
    </row>
    <row r="2" ht="18" customHeight="1">
      <c r="A2" s="6">
        <f>CONCATENATE("جميع الأرقام تُحدَّث تلقائيًا من ورقة الليدز — بيانات حتى تاريخ ",TEXT(TODAY(),"yyyy-mm-dd"))</f>
        <v/>
      </c>
    </row>
    <row r="4" ht="20" customHeight="1">
      <c r="A4" s="7" t="inlineStr">
        <is>
          <t>إجمالي عدد الليدز</t>
        </is>
      </c>
      <c r="B4" s="8" t="n"/>
      <c r="C4" s="7" t="inlineStr">
        <is>
          <t>قيمة الفرص المفتوحة</t>
        </is>
      </c>
      <c r="D4" s="8" t="n"/>
      <c r="E4" s="7" t="inlineStr">
        <is>
          <t>القيمة المرجحة المتوقعة</t>
        </is>
      </c>
      <c r="F4" s="8" t="n"/>
    </row>
    <row r="5" ht="18" customHeight="1">
      <c r="A5" s="9">
        <f>COUNTIF('الليدز'!$B$3:$B$302,"&lt;&gt;")</f>
        <v/>
      </c>
      <c r="B5" s="8" t="n"/>
      <c r="C5" s="10">
        <f>SUMIFS('الليدز'!$I$3:$I$302,'الليدز'!$N$3:$N$302,"مفتوح")</f>
        <v/>
      </c>
      <c r="D5" s="8" t="n"/>
      <c r="E5" s="10">
        <f>SUMIFS('الليدز'!$K$3:$K$302,'الليدز'!$N$3:$N$302,"مفتوح")</f>
        <v/>
      </c>
      <c r="F5" s="8" t="n"/>
    </row>
    <row r="6" ht="18" customHeight="1">
      <c r="A6" s="8" t="n"/>
      <c r="B6" s="8" t="n"/>
      <c r="C6" s="8" t="n"/>
      <c r="D6" s="8" t="n"/>
      <c r="E6" s="8" t="n"/>
      <c r="F6" s="8" t="n"/>
    </row>
    <row r="8" ht="20" customHeight="1">
      <c r="A8" s="11" t="inlineStr">
        <is>
          <t>معدل الفوز %</t>
        </is>
      </c>
      <c r="B8" s="12" t="n"/>
      <c r="C8" s="11" t="inlineStr">
        <is>
          <t>متوسط حجم الصفقة الفائزة</t>
        </is>
      </c>
      <c r="D8" s="12" t="n"/>
      <c r="E8" s="11" t="inlineStr">
        <is>
          <t>متوسط دورة البيع (يوم)</t>
        </is>
      </c>
      <c r="F8" s="12" t="n"/>
    </row>
    <row r="9" ht="18" customHeight="1">
      <c r="A9" s="13">
        <f>IF((COUNTIFS('الليدز'!$N$3:$N$302,"مغلق-فوز")+COUNTIFS('الليدز'!$N$3:$N$302,"مغلق-خسارة"))=0,"",(COUNTIFS('الليدز'!$N$3:$N$302,"مغلق-فوز"))/(COUNTIFS('الليدز'!$N$3:$N$302,"مغلق-فوز")+COUNTIFS('الليدز'!$N$3:$N$302,"مغلق-خسارة")))</f>
        <v/>
      </c>
      <c r="B9" s="12" t="n"/>
      <c r="C9" s="14">
        <f>IFERROR(AVERAGEIFS('الليدز'!$I$3:$I$302,'الليدز'!$N$3:$N$302,"مغلق-فوز"),"")</f>
        <v/>
      </c>
      <c r="D9" s="12" t="n"/>
      <c r="E9" s="15">
        <f>IFERROR(AVERAGEIFS('الليدز'!$O$3:$O$302,'الليدز'!$N$3:$N$302,"مغلق-فوز"),"")</f>
        <v/>
      </c>
      <c r="F9" s="12" t="n"/>
    </row>
    <row r="10" ht="18" customHeight="1">
      <c r="A10" s="12" t="n"/>
      <c r="B10" s="12" t="n"/>
      <c r="C10" s="12" t="n"/>
      <c r="D10" s="12" t="n"/>
      <c r="E10" s="12" t="n"/>
      <c r="F10" s="12" t="n"/>
    </row>
    <row r="12" ht="22" customHeight="1">
      <c r="A12" s="16" t="inlineStr">
        <is>
          <t>قمع المبيعات حسب المرحلة (Sales Funnel by Stage)</t>
        </is>
      </c>
    </row>
    <row r="13" ht="26" customHeight="1">
      <c r="A13" s="17" t="inlineStr">
        <is>
          <t>المرحلة</t>
        </is>
      </c>
      <c r="B13" s="17" t="inlineStr">
        <is>
          <t>عدد الليدز</t>
        </is>
      </c>
      <c r="C13" s="17" t="inlineStr">
        <is>
          <t>القيمة الإجمالية (ج.م)</t>
        </is>
      </c>
      <c r="D13" s="17" t="inlineStr">
        <is>
          <t>القيمة المرجحة (ج.م)</t>
        </is>
      </c>
      <c r="E13" s="17" t="inlineStr">
        <is>
          <t>% من الإجمالي</t>
        </is>
      </c>
      <c r="G13" s="18" t="inlineStr">
        <is>
          <t>Blank</t>
        </is>
      </c>
      <c r="H13" s="18" t="inlineStr">
        <is>
          <t>Value</t>
        </is>
      </c>
    </row>
    <row r="14">
      <c r="A14" s="19">
        <f>القوائم!B4</f>
        <v/>
      </c>
      <c r="B14" s="20">
        <f>COUNTIFS('الليدز'!$H$3:$H$302,A14)</f>
        <v/>
      </c>
      <c r="C14" s="21">
        <f>SUMIFS('الليدز'!$I$3:$I$302,'الليدز'!$H$3:$H$302,A14)</f>
        <v/>
      </c>
      <c r="D14" s="21">
        <f>SUMIFS('الليدز'!$K$3:$K$302,'الليدز'!$H$3:$H$302,A14)</f>
        <v/>
      </c>
      <c r="E14" s="22">
        <f>IF($A$5=0,"",B14/$A$5)</f>
        <v/>
      </c>
      <c r="G14" s="23">
        <f>(MAX($B$14:$B$19)-B14)/2</f>
        <v/>
      </c>
      <c r="H14" s="23">
        <f>B14</f>
        <v/>
      </c>
    </row>
    <row r="15">
      <c r="A15" s="24">
        <f>القوائم!B5</f>
        <v/>
      </c>
      <c r="B15" s="25">
        <f>COUNTIFS('الليدز'!$H$3:$H$302,A15)</f>
        <v/>
      </c>
      <c r="C15" s="26">
        <f>SUMIFS('الليدز'!$I$3:$I$302,'الليدز'!$H$3:$H$302,A15)</f>
        <v/>
      </c>
      <c r="D15" s="26">
        <f>SUMIFS('الليدز'!$K$3:$K$302,'الليدز'!$H$3:$H$302,A15)</f>
        <v/>
      </c>
      <c r="E15" s="27">
        <f>IF($A$5=0,"",B15/$A$5)</f>
        <v/>
      </c>
      <c r="G15" s="23">
        <f>(MAX($B$14:$B$19)-B15)/2</f>
        <v/>
      </c>
      <c r="H15" s="23">
        <f>B15</f>
        <v/>
      </c>
    </row>
    <row r="16">
      <c r="A16" s="19">
        <f>القوائم!B6</f>
        <v/>
      </c>
      <c r="B16" s="20">
        <f>COUNTIFS('الليدز'!$H$3:$H$302,A16)</f>
        <v/>
      </c>
      <c r="C16" s="21">
        <f>SUMIFS('الليدز'!$I$3:$I$302,'الليدز'!$H$3:$H$302,A16)</f>
        <v/>
      </c>
      <c r="D16" s="21">
        <f>SUMIFS('الليدز'!$K$3:$K$302,'الليدز'!$H$3:$H$302,A16)</f>
        <v/>
      </c>
      <c r="E16" s="22">
        <f>IF($A$5=0,"",B16/$A$5)</f>
        <v/>
      </c>
      <c r="G16" s="23">
        <f>(MAX($B$14:$B$19)-B16)/2</f>
        <v/>
      </c>
      <c r="H16" s="23">
        <f>B16</f>
        <v/>
      </c>
    </row>
    <row r="17">
      <c r="A17" s="24">
        <f>القوائم!B7</f>
        <v/>
      </c>
      <c r="B17" s="25">
        <f>COUNTIFS('الليدز'!$H$3:$H$302,A17)</f>
        <v/>
      </c>
      <c r="C17" s="26">
        <f>SUMIFS('الليدز'!$I$3:$I$302,'الليدز'!$H$3:$H$302,A17)</f>
        <v/>
      </c>
      <c r="D17" s="26">
        <f>SUMIFS('الليدز'!$K$3:$K$302,'الليدز'!$H$3:$H$302,A17)</f>
        <v/>
      </c>
      <c r="E17" s="27">
        <f>IF($A$5=0,"",B17/$A$5)</f>
        <v/>
      </c>
      <c r="G17" s="23">
        <f>(MAX($B$14:$B$19)-B17)/2</f>
        <v/>
      </c>
      <c r="H17" s="23">
        <f>B17</f>
        <v/>
      </c>
    </row>
    <row r="18">
      <c r="A18" s="19">
        <f>القوائم!B8</f>
        <v/>
      </c>
      <c r="B18" s="20">
        <f>COUNTIFS('الليدز'!$H$3:$H$302,A18)</f>
        <v/>
      </c>
      <c r="C18" s="21">
        <f>SUMIFS('الليدز'!$I$3:$I$302,'الليدز'!$H$3:$H$302,A18)</f>
        <v/>
      </c>
      <c r="D18" s="21">
        <f>SUMIFS('الليدز'!$K$3:$K$302,'الليدز'!$H$3:$H$302,A18)</f>
        <v/>
      </c>
      <c r="E18" s="22">
        <f>IF($A$5=0,"",B18/$A$5)</f>
        <v/>
      </c>
      <c r="G18" s="23">
        <f>(MAX($B$14:$B$19)-B18)/2</f>
        <v/>
      </c>
      <c r="H18" s="23">
        <f>B18</f>
        <v/>
      </c>
    </row>
    <row r="19">
      <c r="A19" s="24">
        <f>القوائم!B9</f>
        <v/>
      </c>
      <c r="B19" s="25">
        <f>COUNTIFS('الليدز'!$H$3:$H$302,A19)</f>
        <v/>
      </c>
      <c r="C19" s="26">
        <f>SUMIFS('الليدز'!$I$3:$I$302,'الليدز'!$H$3:$H$302,A19)</f>
        <v/>
      </c>
      <c r="D19" s="26">
        <f>SUMIFS('الليدز'!$K$3:$K$302,'الليدز'!$H$3:$H$302,A19)</f>
        <v/>
      </c>
      <c r="E19" s="27">
        <f>IF($A$5=0,"",B19/$A$5)</f>
        <v/>
      </c>
      <c r="G19" s="23">
        <f>(MAX($B$14:$B$19)-B19)/2</f>
        <v/>
      </c>
      <c r="H19" s="23">
        <f>B19</f>
        <v/>
      </c>
    </row>
    <row r="20">
      <c r="A20" s="19">
        <f>القوائم!B10</f>
        <v/>
      </c>
      <c r="B20" s="20">
        <f>COUNTIFS('الليدز'!$H$3:$H$302,A20)</f>
        <v/>
      </c>
      <c r="C20" s="21">
        <f>SUMIFS('الليدز'!$I$3:$I$302,'الليدز'!$H$3:$H$302,A20)</f>
        <v/>
      </c>
      <c r="D20" s="21">
        <f>SUMIFS('الليدز'!$K$3:$K$302,'الليدز'!$H$3:$H$302,A20)</f>
        <v/>
      </c>
      <c r="E20" s="22">
        <f>IF($A$5=0,"",B20/$A$5)</f>
        <v/>
      </c>
    </row>
    <row r="22" ht="22" customHeight="1">
      <c r="A22" s="16" t="inlineStr">
        <is>
          <t>التحليل حسب مصدر الليدز (Analysis by Lead Source)</t>
        </is>
      </c>
    </row>
    <row r="23" ht="26" customHeight="1">
      <c r="A23" s="17" t="inlineStr">
        <is>
          <t>المصدر</t>
        </is>
      </c>
      <c r="B23" s="17" t="inlineStr">
        <is>
          <t>عدد الليدز</t>
        </is>
      </c>
      <c r="C23" s="17" t="inlineStr">
        <is>
          <t>القيمة الإجمالية (ج.م)</t>
        </is>
      </c>
      <c r="D23" s="17" t="inlineStr">
        <is>
          <t>صفقات فوز</t>
        </is>
      </c>
      <c r="E23" s="17" t="inlineStr">
        <is>
          <t>معدل الفوز %</t>
        </is>
      </c>
    </row>
    <row r="24">
      <c r="A24" s="19">
        <f>القوائم!A14</f>
        <v/>
      </c>
      <c r="B24" s="20">
        <f>COUNTIFS('الليدز'!$F$3:$F$302,A24)</f>
        <v/>
      </c>
      <c r="C24" s="21">
        <f>SUMIFS('الليدز'!$I$3:$I$302,'الليدز'!$F$3:$F$302,A24)</f>
        <v/>
      </c>
      <c r="D24" s="20">
        <f>COUNTIFS('الليدز'!$F$3:$F$302,A24,'الليدز'!$N$3:$N$302,"مغلق-فوز")</f>
        <v/>
      </c>
      <c r="E24" s="22">
        <f>IF(B24=0,"",D24/COUNTIFS('الليدز'!$F$3:$F$302,A24,'الليدز'!$N$3:$N$302,"&lt;&gt;مفتوح"))</f>
        <v/>
      </c>
    </row>
    <row r="25">
      <c r="A25" s="24">
        <f>القوائم!A15</f>
        <v/>
      </c>
      <c r="B25" s="25">
        <f>COUNTIFS('الليدز'!$F$3:$F$302,A25)</f>
        <v/>
      </c>
      <c r="C25" s="26">
        <f>SUMIFS('الليدز'!$I$3:$I$302,'الليدز'!$F$3:$F$302,A25)</f>
        <v/>
      </c>
      <c r="D25" s="25">
        <f>COUNTIFS('الليدز'!$F$3:$F$302,A25,'الليدز'!$N$3:$N$302,"مغلق-فوز")</f>
        <v/>
      </c>
      <c r="E25" s="27">
        <f>IF(B25=0,"",D25/COUNTIFS('الليدز'!$F$3:$F$302,A25,'الليدز'!$N$3:$N$302,"&lt;&gt;مفتوح"))</f>
        <v/>
      </c>
    </row>
    <row r="26">
      <c r="A26" s="19">
        <f>القوائم!A16</f>
        <v/>
      </c>
      <c r="B26" s="20">
        <f>COUNTIFS('الليدز'!$F$3:$F$302,A26)</f>
        <v/>
      </c>
      <c r="C26" s="21">
        <f>SUMIFS('الليدز'!$I$3:$I$302,'الليدز'!$F$3:$F$302,A26)</f>
        <v/>
      </c>
      <c r="D26" s="20">
        <f>COUNTIFS('الليدز'!$F$3:$F$302,A26,'الليدز'!$N$3:$N$302,"مغلق-فوز")</f>
        <v/>
      </c>
      <c r="E26" s="22">
        <f>IF(B26=0,"",D26/COUNTIFS('الليدز'!$F$3:$F$302,A26,'الليدز'!$N$3:$N$302,"&lt;&gt;مفتوح"))</f>
        <v/>
      </c>
    </row>
    <row r="27">
      <c r="A27" s="24">
        <f>القوائم!A17</f>
        <v/>
      </c>
      <c r="B27" s="25">
        <f>COUNTIFS('الليدز'!$F$3:$F$302,A27)</f>
        <v/>
      </c>
      <c r="C27" s="26">
        <f>SUMIFS('الليدز'!$I$3:$I$302,'الليدز'!$F$3:$F$302,A27)</f>
        <v/>
      </c>
      <c r="D27" s="25">
        <f>COUNTIFS('الليدز'!$F$3:$F$302,A27,'الليدز'!$N$3:$N$302,"مغلق-فوز")</f>
        <v/>
      </c>
      <c r="E27" s="27">
        <f>IF(B27=0,"",D27/COUNTIFS('الليدز'!$F$3:$F$302,A27,'الليدز'!$N$3:$N$302,"&lt;&gt;مفتوح"))</f>
        <v/>
      </c>
    </row>
    <row r="28">
      <c r="A28" s="19">
        <f>القوائم!A18</f>
        <v/>
      </c>
      <c r="B28" s="20">
        <f>COUNTIFS('الليدز'!$F$3:$F$302,A28)</f>
        <v/>
      </c>
      <c r="C28" s="21">
        <f>SUMIFS('الليدز'!$I$3:$I$302,'الليدز'!$F$3:$F$302,A28)</f>
        <v/>
      </c>
      <c r="D28" s="20">
        <f>COUNTIFS('الليدز'!$F$3:$F$302,A28,'الليدز'!$N$3:$N$302,"مغلق-فوز")</f>
        <v/>
      </c>
      <c r="E28" s="22">
        <f>IF(B28=0,"",D28/COUNTIFS('الليدز'!$F$3:$F$302,A28,'الليدز'!$N$3:$N$302,"&lt;&gt;مفتوح"))</f>
        <v/>
      </c>
    </row>
    <row r="29">
      <c r="A29" s="24">
        <f>القوائم!A19</f>
        <v/>
      </c>
      <c r="B29" s="25">
        <f>COUNTIFS('الليدز'!$F$3:$F$302,A29)</f>
        <v/>
      </c>
      <c r="C29" s="26">
        <f>SUMIFS('الليدز'!$I$3:$I$302,'الليدز'!$F$3:$F$302,A29)</f>
        <v/>
      </c>
      <c r="D29" s="25">
        <f>COUNTIFS('الليدز'!$F$3:$F$302,A29,'الليدز'!$N$3:$N$302,"مغلق-فوز")</f>
        <v/>
      </c>
      <c r="E29" s="27">
        <f>IF(B29=0,"",D29/COUNTIFS('الليدز'!$F$3:$F$302,A29,'الليدز'!$N$3:$N$302,"&lt;&gt;مفتوح"))</f>
        <v/>
      </c>
    </row>
    <row r="30">
      <c r="A30" s="19">
        <f>القوائم!A20</f>
        <v/>
      </c>
      <c r="B30" s="20">
        <f>COUNTIFS('الليدز'!$F$3:$F$302,A30)</f>
        <v/>
      </c>
      <c r="C30" s="21">
        <f>SUMIFS('الليدز'!$I$3:$I$302,'الليدز'!$F$3:$F$302,A30)</f>
        <v/>
      </c>
      <c r="D30" s="20">
        <f>COUNTIFS('الليدز'!$F$3:$F$302,A30,'الليدز'!$N$3:$N$302,"مغلق-فوز")</f>
        <v/>
      </c>
      <c r="E30" s="22">
        <f>IF(B30=0,"",D30/COUNTIFS('الليدز'!$F$3:$F$302,A30,'الليدز'!$N$3:$N$302,"&lt;&gt;مفتوح"))</f>
        <v/>
      </c>
    </row>
    <row r="31">
      <c r="A31" s="24">
        <f>القوائم!A21</f>
        <v/>
      </c>
      <c r="B31" s="25">
        <f>COUNTIFS('الليدز'!$F$3:$F$302,A31)</f>
        <v/>
      </c>
      <c r="C31" s="26">
        <f>SUMIFS('الليدز'!$I$3:$I$302,'الليدز'!$F$3:$F$302,A31)</f>
        <v/>
      </c>
      <c r="D31" s="25">
        <f>COUNTIFS('الليدز'!$F$3:$F$302,A31,'الليدز'!$N$3:$N$302,"مغلق-فوز")</f>
        <v/>
      </c>
      <c r="E31" s="27">
        <f>IF(B31=0,"",D31/COUNTIFS('الليدز'!$F$3:$F$302,A31,'الليدز'!$N$3:$N$302,"&lt;&gt;مفتوح"))</f>
        <v/>
      </c>
    </row>
    <row r="33" ht="22" customHeight="1">
      <c r="A33" s="16" t="inlineStr">
        <is>
          <t>أداء فريق المبيعات (Sales Rep Performance)</t>
        </is>
      </c>
    </row>
    <row r="34" ht="26" customHeight="1">
      <c r="A34" s="17" t="inlineStr">
        <is>
          <t>المندوب</t>
        </is>
      </c>
      <c r="B34" s="17" t="inlineStr">
        <is>
          <t>عدد الليدز</t>
        </is>
      </c>
      <c r="C34" s="17" t="inlineStr">
        <is>
          <t>قيمة مفتوحة (ج.م)</t>
        </is>
      </c>
      <c r="D34" s="17" t="inlineStr">
        <is>
          <t>قيمة فوز مغلقة (ج.م)</t>
        </is>
      </c>
      <c r="E34" s="17" t="inlineStr">
        <is>
          <t>معدل الفوز %</t>
        </is>
      </c>
    </row>
    <row r="35">
      <c r="A35" s="19">
        <f>القوائم!A25</f>
        <v/>
      </c>
      <c r="B35" s="20">
        <f>COUNTIFS('الليدز'!$G$3:$G$302,A35)</f>
        <v/>
      </c>
      <c r="C35" s="21">
        <f>SUMIFS('الليدز'!$I$3:$I$302,'الليدز'!$G$3:$G$302,A35,'الليدز'!$N$3:$N$302,"مفتوح")</f>
        <v/>
      </c>
      <c r="D35" s="21">
        <f>SUMIFS('الليدز'!$I$3:$I$302,'الليدز'!$G$3:$G$302,A35,'الليدز'!$N$3:$N$302,"مغلق-فوز")</f>
        <v/>
      </c>
      <c r="E35" s="22">
        <f>IF((COUNTIFS('الليدز'!$G$3:$G$302,A35,'الليدز'!$N$3:$N$302,"مغلق-فوز")+COUNTIFS('الليدز'!$G$3:$G$302,A35,'الليدز'!$N$3:$N$302,"مغلق-خسارة"))=0,"",(COUNTIFS('الليدز'!$G$3:$G$302,A35,'الليدز'!$N$3:$N$302,"مغلق-فوز"))/(COUNTIFS('الليدز'!$G$3:$G$302,A35,'الليدز'!$N$3:$N$302,"مغلق-فوز")+COUNTIFS('الليدز'!$G$3:$G$302,A35,'الليدز'!$N$3:$N$302,"مغلق-خسارة")))</f>
        <v/>
      </c>
    </row>
    <row r="36">
      <c r="A36" s="24">
        <f>القوائم!A26</f>
        <v/>
      </c>
      <c r="B36" s="25">
        <f>COUNTIFS('الليدز'!$G$3:$G$302,A36)</f>
        <v/>
      </c>
      <c r="C36" s="26">
        <f>SUMIFS('الليدز'!$I$3:$I$302,'الليدز'!$G$3:$G$302,A36,'الليدز'!$N$3:$N$302,"مفتوح")</f>
        <v/>
      </c>
      <c r="D36" s="26">
        <f>SUMIFS('الليدز'!$I$3:$I$302,'الليدز'!$G$3:$G$302,A36,'الليدز'!$N$3:$N$302,"مغلق-فوز")</f>
        <v/>
      </c>
      <c r="E36" s="27">
        <f>IF((COUNTIFS('الليدز'!$G$3:$G$302,A36,'الليدز'!$N$3:$N$302,"مغلق-فوز")+COUNTIFS('الليدز'!$G$3:$G$302,A36,'الليدز'!$N$3:$N$302,"مغلق-خسارة"))=0,"",(COUNTIFS('الليدز'!$G$3:$G$302,A36,'الليدز'!$N$3:$N$302,"مغلق-فوز"))/(COUNTIFS('الليدز'!$G$3:$G$302,A36,'الليدز'!$N$3:$N$302,"مغلق-فوز")+COUNTIFS('الليدز'!$G$3:$G$302,A36,'الليدز'!$N$3:$N$302,"مغلق-خسارة")))</f>
        <v/>
      </c>
    </row>
    <row r="37">
      <c r="A37" s="19">
        <f>القوائم!A27</f>
        <v/>
      </c>
      <c r="B37" s="20">
        <f>COUNTIFS('الليدز'!$G$3:$G$302,A37)</f>
        <v/>
      </c>
      <c r="C37" s="21">
        <f>SUMIFS('الليدز'!$I$3:$I$302,'الليدز'!$G$3:$G$302,A37,'الليدز'!$N$3:$N$302,"مفتوح")</f>
        <v/>
      </c>
      <c r="D37" s="21">
        <f>SUMIFS('الليدز'!$I$3:$I$302,'الليدز'!$G$3:$G$302,A37,'الليدز'!$N$3:$N$302,"مغلق-فوز")</f>
        <v/>
      </c>
      <c r="E37" s="22">
        <f>IF((COUNTIFS('الليدز'!$G$3:$G$302,A37,'الليدز'!$N$3:$N$302,"مغلق-فوز")+COUNTIFS('الليدز'!$G$3:$G$302,A37,'الليدز'!$N$3:$N$302,"مغلق-خسارة"))=0,"",(COUNTIFS('الليدز'!$G$3:$G$302,A37,'الليدز'!$N$3:$N$302,"مغلق-فوز"))/(COUNTIFS('الليدز'!$G$3:$G$302,A37,'الليدز'!$N$3:$N$302,"مغلق-فوز")+COUNTIFS('الليدز'!$G$3:$G$302,A37,'الليدز'!$N$3:$N$302,"مغلق-خسارة")))</f>
        <v/>
      </c>
    </row>
    <row r="38">
      <c r="A38" s="24">
        <f>القوائم!A28</f>
        <v/>
      </c>
      <c r="B38" s="25">
        <f>COUNTIFS('الليدز'!$G$3:$G$302,A38)</f>
        <v/>
      </c>
      <c r="C38" s="26">
        <f>SUMIFS('الليدز'!$I$3:$I$302,'الليدز'!$G$3:$G$302,A38,'الليدز'!$N$3:$N$302,"مفتوح")</f>
        <v/>
      </c>
      <c r="D38" s="26">
        <f>SUMIFS('الليدز'!$I$3:$I$302,'الليدز'!$G$3:$G$302,A38,'الليدز'!$N$3:$N$302,"مغلق-فوز")</f>
        <v/>
      </c>
      <c r="E38" s="27">
        <f>IF((COUNTIFS('الليدز'!$G$3:$G$302,A38,'الليدز'!$N$3:$N$302,"مغلق-فوز")+COUNTIFS('الليدز'!$G$3:$G$302,A38,'الليدز'!$N$3:$N$302,"مغلق-خسارة"))=0,"",(COUNTIFS('الليدز'!$G$3:$G$302,A38,'الليدز'!$N$3:$N$302,"مغلق-فوز"))/(COUNTIFS('الليدز'!$G$3:$G$302,A38,'الليدز'!$N$3:$N$302,"مغلق-فوز")+COUNTIFS('الليدز'!$G$3:$G$302,A38,'الليدز'!$N$3:$N$302,"مغلق-خسارة")))</f>
        <v/>
      </c>
    </row>
    <row r="39">
      <c r="A39" s="19">
        <f>القوائم!A29</f>
        <v/>
      </c>
      <c r="B39" s="20">
        <f>COUNTIFS('الليدز'!$G$3:$G$302,A39)</f>
        <v/>
      </c>
      <c r="C39" s="21">
        <f>SUMIFS('الليدز'!$I$3:$I$302,'الليدز'!$G$3:$G$302,A39,'الليدز'!$N$3:$N$302,"مفتوح")</f>
        <v/>
      </c>
      <c r="D39" s="21">
        <f>SUMIFS('الليدز'!$I$3:$I$302,'الليدز'!$G$3:$G$302,A39,'الليدز'!$N$3:$N$302,"مغلق-فوز")</f>
        <v/>
      </c>
      <c r="E39" s="22">
        <f>IF((COUNTIFS('الليدز'!$G$3:$G$302,A39,'الليدز'!$N$3:$N$302,"مغلق-فوز")+COUNTIFS('الليدز'!$G$3:$G$302,A39,'الليدز'!$N$3:$N$302,"مغلق-خسارة"))=0,"",(COUNTIFS('الليدز'!$G$3:$G$302,A39,'الليدز'!$N$3:$N$302,"مغلق-فوز"))/(COUNTIFS('الليدز'!$G$3:$G$302,A39,'الليدز'!$N$3:$N$302,"مغلق-فوز")+COUNTIFS('الليدز'!$G$3:$G$302,A39,'الليدز'!$N$3:$N$302,"مغلق-خسارة")))</f>
        <v/>
      </c>
    </row>
    <row r="41" ht="22" customHeight="1">
      <c r="A41" s="16" t="inlineStr">
        <is>
          <t>الاتجاه الشهري — آخر 6 أشهر (Monthly Trend)</t>
        </is>
      </c>
    </row>
    <row r="42" ht="22" customHeight="1">
      <c r="A42" s="17" t="inlineStr">
        <is>
          <t>الشهر</t>
        </is>
      </c>
      <c r="B42" s="17" t="inlineStr">
        <is>
          <t>ليدز جديدة</t>
        </is>
      </c>
      <c r="C42" s="17" t="inlineStr">
        <is>
          <t>صفقات فوز</t>
        </is>
      </c>
      <c r="D42" s="17" t="inlineStr">
        <is>
          <t>قيمة الفوز (ج.م)</t>
        </is>
      </c>
    </row>
    <row r="43">
      <c r="A43" s="20">
        <f>TEXT(EDATE(TODAY(),-5),"yyyy-mm")</f>
        <v/>
      </c>
      <c r="B43" s="20">
        <f>COUNTIFS('الليدز'!$P$3:$P$302,A43)</f>
        <v/>
      </c>
      <c r="C43" s="20">
        <f>COUNTIFS('الليدز'!$P$3:$P$302,A43,'الليدز'!$N$3:$N$302,"مغلق-فوز")</f>
        <v/>
      </c>
      <c r="D43" s="21">
        <f>SUMIFS('الليدز'!$I$3:$I$302,'الليدز'!$P$3:$P$302,A43,'الليدز'!$N$3:$N$302,"مغلق-فوز")</f>
        <v/>
      </c>
    </row>
    <row r="44">
      <c r="A44" s="25">
        <f>TEXT(EDATE(TODAY(),-4),"yyyy-mm")</f>
        <v/>
      </c>
      <c r="B44" s="25">
        <f>COUNTIFS('الليدز'!$P$3:$P$302,A44)</f>
        <v/>
      </c>
      <c r="C44" s="25">
        <f>COUNTIFS('الليدز'!$P$3:$P$302,A44,'الليدز'!$N$3:$N$302,"مغلق-فوز")</f>
        <v/>
      </c>
      <c r="D44" s="26">
        <f>SUMIFS('الليدز'!$I$3:$I$302,'الليدز'!$P$3:$P$302,A44,'الليدز'!$N$3:$N$302,"مغلق-فوز")</f>
        <v/>
      </c>
    </row>
    <row r="45">
      <c r="A45" s="20">
        <f>TEXT(EDATE(TODAY(),-3),"yyyy-mm")</f>
        <v/>
      </c>
      <c r="B45" s="20">
        <f>COUNTIFS('الليدز'!$P$3:$P$302,A45)</f>
        <v/>
      </c>
      <c r="C45" s="20">
        <f>COUNTIFS('الليدز'!$P$3:$P$302,A45,'الليدز'!$N$3:$N$302,"مغلق-فوز")</f>
        <v/>
      </c>
      <c r="D45" s="21">
        <f>SUMIFS('الليدز'!$I$3:$I$302,'الليدز'!$P$3:$P$302,A45,'الليدز'!$N$3:$N$302,"مغلق-فوز")</f>
        <v/>
      </c>
    </row>
    <row r="46">
      <c r="A46" s="25">
        <f>TEXT(EDATE(TODAY(),-2),"yyyy-mm")</f>
        <v/>
      </c>
      <c r="B46" s="25">
        <f>COUNTIFS('الليدز'!$P$3:$P$302,A46)</f>
        <v/>
      </c>
      <c r="C46" s="25">
        <f>COUNTIFS('الليدز'!$P$3:$P$302,A46,'الليدز'!$N$3:$N$302,"مغلق-فوز")</f>
        <v/>
      </c>
      <c r="D46" s="26">
        <f>SUMIFS('الليدز'!$I$3:$I$302,'الليدز'!$P$3:$P$302,A46,'الليدز'!$N$3:$N$302,"مغلق-فوز")</f>
        <v/>
      </c>
    </row>
    <row r="47">
      <c r="A47" s="20">
        <f>TEXT(EDATE(TODAY(),-1),"yyyy-mm")</f>
        <v/>
      </c>
      <c r="B47" s="20">
        <f>COUNTIFS('الليدز'!$P$3:$P$302,A47)</f>
        <v/>
      </c>
      <c r="C47" s="20">
        <f>COUNTIFS('الليدز'!$P$3:$P$302,A47,'الليدز'!$N$3:$N$302,"مغلق-فوز")</f>
        <v/>
      </c>
      <c r="D47" s="21">
        <f>SUMIFS('الليدز'!$I$3:$I$302,'الليدز'!$P$3:$P$302,A47,'الليدز'!$N$3:$N$302,"مغلق-فوز")</f>
        <v/>
      </c>
    </row>
    <row r="48">
      <c r="A48" s="25">
        <f>TEXT(EDATE(TODAY(),-0),"yyyy-mm")</f>
        <v/>
      </c>
      <c r="B48" s="25">
        <f>COUNTIFS('الليدز'!$P$3:$P$302,A48)</f>
        <v/>
      </c>
      <c r="C48" s="25">
        <f>COUNTIFS('الليدز'!$P$3:$P$302,A48,'الليدز'!$N$3:$N$302,"مغلق-فوز")</f>
        <v/>
      </c>
      <c r="D48" s="26">
        <f>SUMIFS('الليدز'!$I$3:$I$302,'الليدز'!$P$3:$P$302,A48,'الليدز'!$N$3:$N$302,"مغلق-فوز")</f>
        <v/>
      </c>
    </row>
  </sheetData>
  <mergeCells count="18">
    <mergeCell ref="A4:B4"/>
    <mergeCell ref="A2:F2"/>
    <mergeCell ref="E4:F4"/>
    <mergeCell ref="C9:D10"/>
    <mergeCell ref="A33:F33"/>
    <mergeCell ref="A41:F41"/>
    <mergeCell ref="E9:F10"/>
    <mergeCell ref="A1:F1"/>
    <mergeCell ref="C5:D6"/>
    <mergeCell ref="A5:B6"/>
    <mergeCell ref="A22:F22"/>
    <mergeCell ref="E5:F6"/>
    <mergeCell ref="A12:F12"/>
    <mergeCell ref="A8:B8"/>
    <mergeCell ref="A9:B10"/>
    <mergeCell ref="E8:F8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5395"/>
    <outlinePr summaryBelow="1" summaryRight="1"/>
    <pageSetUpPr/>
  </sheetPr>
  <dimension ref="A1:Q304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22" customWidth="1" min="4" max="4"/>
    <col width="14" customWidth="1" min="5" max="5"/>
    <col width="24" customWidth="1" min="6" max="6"/>
    <col width="16" customWidth="1" min="7" max="7"/>
    <col width="22" customWidth="1" min="8" max="8"/>
    <col width="15" customWidth="1" min="9" max="9"/>
    <col width="13" customWidth="1" min="10" max="10"/>
    <col width="16" customWidth="1" min="11" max="11"/>
    <col width="13" customWidth="1" min="12" max="12"/>
    <col width="13" customWidth="1" min="13" max="13"/>
    <col width="13" customWidth="1" min="14" max="14"/>
    <col width="14" customWidth="1" min="15" max="15"/>
    <col width="11" customWidth="1" min="16" max="16"/>
    <col width="26" customWidth="1" min="17" max="17"/>
  </cols>
  <sheetData>
    <row r="1" ht="26" customHeight="1">
      <c r="A1" s="5" t="inlineStr">
        <is>
          <t>قاعدة بيانات الليدز — Leads &amp; Deals Database</t>
        </is>
      </c>
    </row>
    <row r="2" ht="34" customHeight="1">
      <c r="A2" s="28" t="inlineStr">
        <is>
          <t>م</t>
        </is>
      </c>
      <c r="B2" s="28" t="inlineStr">
        <is>
          <t>اسم الليد / العميل</t>
        </is>
      </c>
      <c r="C2" s="28" t="inlineStr">
        <is>
          <t>الشركة</t>
        </is>
      </c>
      <c r="D2" s="28" t="inlineStr">
        <is>
          <t>البريد الإلكتروني</t>
        </is>
      </c>
      <c r="E2" s="28" t="inlineStr">
        <is>
          <t>رقم الهاتف</t>
        </is>
      </c>
      <c r="F2" s="28" t="inlineStr">
        <is>
          <t>المصدر</t>
        </is>
      </c>
      <c r="G2" s="28" t="inlineStr">
        <is>
          <t>المندوب المسؤول</t>
        </is>
      </c>
      <c r="H2" s="28" t="inlineStr">
        <is>
          <t>المرحلة</t>
        </is>
      </c>
      <c r="I2" s="28" t="inlineStr">
        <is>
          <t>قيمة الصفقة (ج.م)</t>
        </is>
      </c>
      <c r="J2" s="28" t="inlineStr">
        <is>
          <t>احتمالية الإغلاق %</t>
        </is>
      </c>
      <c r="K2" s="28" t="inlineStr">
        <is>
          <t>القيمة المرجحة (ج.م)</t>
        </is>
      </c>
      <c r="L2" s="28" t="inlineStr">
        <is>
          <t>تاريخ الإنشاء</t>
        </is>
      </c>
      <c r="M2" s="28" t="inlineStr">
        <is>
          <t>آخر تحديث</t>
        </is>
      </c>
      <c r="N2" s="28" t="inlineStr">
        <is>
          <t>الحالة</t>
        </is>
      </c>
      <c r="O2" s="28" t="inlineStr">
        <is>
          <t>عمر الفرصة (أيام)</t>
        </is>
      </c>
      <c r="P2" s="28" t="inlineStr">
        <is>
          <t>شهر الإنشاء</t>
        </is>
      </c>
      <c r="Q2" s="28" t="inlineStr">
        <is>
          <t>ملاحظات</t>
        </is>
      </c>
    </row>
    <row r="3">
      <c r="A3" s="29">
        <f>IF(B3="","",ROW()-2)</f>
        <v/>
      </c>
      <c r="B3" s="30" t="inlineStr">
        <is>
          <t>كريم راشد</t>
        </is>
      </c>
      <c r="C3" s="30" t="inlineStr">
        <is>
          <t>سنتربوينت</t>
        </is>
      </c>
      <c r="D3" s="30" t="inlineStr">
        <is>
          <t>كريم@سنتربوينت.com</t>
        </is>
      </c>
      <c r="E3" s="30" t="inlineStr">
        <is>
          <t>01047338124</t>
        </is>
      </c>
      <c r="F3" s="31" t="inlineStr">
        <is>
          <t>الموقع الإلكتروني (Website)</t>
        </is>
      </c>
      <c r="G3" s="31" t="inlineStr">
        <is>
          <t>سارة عادل</t>
        </is>
      </c>
      <c r="H3" s="31" t="inlineStr">
        <is>
          <t>عرض سعر (Proposal)</t>
        </is>
      </c>
      <c r="I3" s="32" t="n">
        <v>65000</v>
      </c>
      <c r="J3" s="33">
        <f>IFERROR(INDEX(Stage_Prob,MATCH(H3,Stage_Names,0)),"")</f>
        <v/>
      </c>
      <c r="K3" s="34">
        <f>IF(OR(H3="",I3=""),"",I3*J3)</f>
        <v/>
      </c>
      <c r="L3" s="35" t="n">
        <v>46185</v>
      </c>
      <c r="M3" s="35" t="n">
        <v>46257</v>
      </c>
      <c r="N3" s="29">
        <f>IFERROR(INDEX(Stage_Type,MATCH(H3,Stage_Names,0)),"")</f>
        <v/>
      </c>
      <c r="O3" s="29">
        <f>IF(OR(H3="",L3=""),"",IF(N3="مفتوح",TODAY()-L3,M3-L3))</f>
        <v/>
      </c>
      <c r="P3" s="29">
        <f>IF(L3="","",TEXT(L3,"YYYY-MM"))</f>
        <v/>
      </c>
      <c r="Q3" s="30" t="inlineStr"/>
    </row>
    <row r="4">
      <c r="A4" s="36">
        <f>IF(B4="","",ROW()-2)</f>
        <v/>
      </c>
      <c r="B4" s="37" t="inlineStr">
        <is>
          <t>منى عبدالله</t>
        </is>
      </c>
      <c r="C4" s="37" t="inlineStr">
        <is>
          <t>سكاي نت</t>
        </is>
      </c>
      <c r="D4" s="37" t="inlineStr">
        <is>
          <t>منى@سكاي.com</t>
        </is>
      </c>
      <c r="E4" s="37" t="inlineStr">
        <is>
          <t>01055176955</t>
        </is>
      </c>
      <c r="F4" s="38" t="inlineStr">
        <is>
          <t>فيسبوك (Facebook)</t>
        </is>
      </c>
      <c r="G4" s="38" t="inlineStr">
        <is>
          <t>أحمد سمير</t>
        </is>
      </c>
      <c r="H4" s="38" t="inlineStr">
        <is>
          <t>مؤهل (Qualified)</t>
        </is>
      </c>
      <c r="I4" s="39" t="n">
        <v>65000</v>
      </c>
      <c r="J4" s="40">
        <f>IFERROR(INDEX(Stage_Prob,MATCH(H4,Stage_Names,0)),"")</f>
        <v/>
      </c>
      <c r="K4" s="41">
        <f>IF(OR(H4="",I4=""),"",I4*J4)</f>
        <v/>
      </c>
      <c r="L4" s="42" t="n">
        <v>46168</v>
      </c>
      <c r="M4" s="42" t="n">
        <v>46253</v>
      </c>
      <c r="N4" s="36">
        <f>IFERROR(INDEX(Stage_Type,MATCH(H4,Stage_Names,0)),"")</f>
        <v/>
      </c>
      <c r="O4" s="36">
        <f>IF(OR(H4="",L4=""),"",IF(N4="مفتوح",TODAY()-L4,M4-L4))</f>
        <v/>
      </c>
      <c r="P4" s="36">
        <f>IF(L4="","",TEXT(L4,"YYYY-MM"))</f>
        <v/>
      </c>
      <c r="Q4" s="37" t="inlineStr"/>
    </row>
    <row r="5">
      <c r="A5" s="29">
        <f>IF(B5="","",ROW()-2)</f>
        <v/>
      </c>
      <c r="B5" s="30" t="inlineStr">
        <is>
          <t>هبة السيد</t>
        </is>
      </c>
      <c r="C5" s="30" t="inlineStr">
        <is>
          <t>بلو أوشن</t>
        </is>
      </c>
      <c r="D5" s="30" t="inlineStr">
        <is>
          <t>هبة@بلو.com</t>
        </is>
      </c>
      <c r="E5" s="30" t="inlineStr">
        <is>
          <t>01071662963</t>
        </is>
      </c>
      <c r="F5" s="31" t="inlineStr">
        <is>
          <t>فيسبوك (Facebook)</t>
        </is>
      </c>
      <c r="G5" s="31" t="inlineStr">
        <is>
          <t>نور الدين حسن</t>
        </is>
      </c>
      <c r="H5" s="31" t="inlineStr">
        <is>
          <t>جديد (New)</t>
        </is>
      </c>
      <c r="I5" s="32" t="n">
        <v>50000</v>
      </c>
      <c r="J5" s="33">
        <f>IFERROR(INDEX(Stage_Prob,MATCH(H5,Stage_Names,0)),"")</f>
        <v/>
      </c>
      <c r="K5" s="34">
        <f>IF(OR(H5="",I5=""),"",I5*J5)</f>
        <v/>
      </c>
      <c r="L5" s="35" t="n">
        <v>46096</v>
      </c>
      <c r="M5" s="35" t="n">
        <v>46250</v>
      </c>
      <c r="N5" s="29">
        <f>IFERROR(INDEX(Stage_Type,MATCH(H5,Stage_Names,0)),"")</f>
        <v/>
      </c>
      <c r="O5" s="29">
        <f>IF(OR(H5="",L5=""),"",IF(N5="مفتوح",TODAY()-L5,M5-L5))</f>
        <v/>
      </c>
      <c r="P5" s="29">
        <f>IF(L5="","",TEXT(L5,"YYYY-MM"))</f>
        <v/>
      </c>
      <c r="Q5" s="30" t="inlineStr"/>
    </row>
    <row r="6">
      <c r="A6" s="36">
        <f>IF(B6="","",ROW()-2)</f>
        <v/>
      </c>
      <c r="B6" s="37" t="inlineStr">
        <is>
          <t>طارق راشد</t>
        </is>
      </c>
      <c r="C6" s="37" t="inlineStr">
        <is>
          <t>كريستال جلاس</t>
        </is>
      </c>
      <c r="D6" s="37" t="inlineStr">
        <is>
          <t>طارق@كريستال.com</t>
        </is>
      </c>
      <c r="E6" s="37" t="inlineStr">
        <is>
          <t>01035808537</t>
        </is>
      </c>
      <c r="F6" s="38" t="inlineStr">
        <is>
          <t>فيسبوك (Facebook)</t>
        </is>
      </c>
      <c r="G6" s="38" t="inlineStr">
        <is>
          <t>أحمد سمير</t>
        </is>
      </c>
      <c r="H6" s="38" t="inlineStr">
        <is>
          <t>عرض سعر (Proposal)</t>
        </is>
      </c>
      <c r="I6" s="39" t="n">
        <v>50000</v>
      </c>
      <c r="J6" s="40">
        <f>IFERROR(INDEX(Stage_Prob,MATCH(H6,Stage_Names,0)),"")</f>
        <v/>
      </c>
      <c r="K6" s="41">
        <f>IF(OR(H6="",I6=""),"",I6*J6)</f>
        <v/>
      </c>
      <c r="L6" s="42" t="n">
        <v>46236</v>
      </c>
      <c r="M6" s="42" t="n">
        <v>46254</v>
      </c>
      <c r="N6" s="36">
        <f>IFERROR(INDEX(Stage_Type,MATCH(H6,Stage_Names,0)),"")</f>
        <v/>
      </c>
      <c r="O6" s="36">
        <f>IF(OR(H6="",L6=""),"",IF(N6="مفتوح",TODAY()-L6,M6-L6))</f>
        <v/>
      </c>
      <c r="P6" s="36">
        <f>IF(L6="","",TEXT(L6,"YYYY-MM"))</f>
        <v/>
      </c>
      <c r="Q6" s="37" t="inlineStr"/>
    </row>
    <row r="7">
      <c r="A7" s="29">
        <f>IF(B7="","",ROW()-2)</f>
        <v/>
      </c>
      <c r="B7" s="30" t="inlineStr">
        <is>
          <t>ريم السيد</t>
        </is>
      </c>
      <c r="C7" s="30" t="inlineStr">
        <is>
          <t>فيوتشر تك</t>
        </is>
      </c>
      <c r="D7" s="30" t="inlineStr">
        <is>
          <t>ريم@فيوتشر.com</t>
        </is>
      </c>
      <c r="E7" s="30" t="inlineStr">
        <is>
          <t>01061019678</t>
        </is>
      </c>
      <c r="F7" s="31" t="inlineStr">
        <is>
          <t>اتصال بارد (Cold Call)</t>
        </is>
      </c>
      <c r="G7" s="31" t="inlineStr">
        <is>
          <t>نور الدين حسن</t>
        </is>
      </c>
      <c r="H7" s="31" t="inlineStr">
        <is>
          <t>عرض سعر (Proposal)</t>
        </is>
      </c>
      <c r="I7" s="32" t="n">
        <v>65000</v>
      </c>
      <c r="J7" s="33">
        <f>IFERROR(INDEX(Stage_Prob,MATCH(H7,Stage_Names,0)),"")</f>
        <v/>
      </c>
      <c r="K7" s="34">
        <f>IF(OR(H7="",I7=""),"",I7*J7)</f>
        <v/>
      </c>
      <c r="L7" s="35" t="n">
        <v>46215</v>
      </c>
      <c r="M7" s="35" t="n">
        <v>46250</v>
      </c>
      <c r="N7" s="29">
        <f>IFERROR(INDEX(Stage_Type,MATCH(H7,Stage_Names,0)),"")</f>
        <v/>
      </c>
      <c r="O7" s="29">
        <f>IF(OR(H7="",L7=""),"",IF(N7="مفتوح",TODAY()-L7,M7-L7))</f>
        <v/>
      </c>
      <c r="P7" s="29">
        <f>IF(L7="","",TEXT(L7,"YYYY-MM"))</f>
        <v/>
      </c>
      <c r="Q7" s="30" t="inlineStr"/>
    </row>
    <row r="8">
      <c r="A8" s="36">
        <f>IF(B8="","",ROW()-2)</f>
        <v/>
      </c>
      <c r="B8" s="37" t="inlineStr">
        <is>
          <t>عمر فؤاد</t>
        </is>
      </c>
      <c r="C8" s="37" t="inlineStr">
        <is>
          <t>جلوبال ترايد</t>
        </is>
      </c>
      <c r="D8" s="37" t="inlineStr">
        <is>
          <t>عمر@جلوبال.com</t>
        </is>
      </c>
      <c r="E8" s="37" t="inlineStr">
        <is>
          <t>01038119557</t>
        </is>
      </c>
      <c r="F8" s="38" t="inlineStr">
        <is>
          <t>اتصال بارد (Cold Call)</t>
        </is>
      </c>
      <c r="G8" s="38" t="inlineStr">
        <is>
          <t>أحمد سمير</t>
        </is>
      </c>
      <c r="H8" s="38" t="inlineStr">
        <is>
          <t>عرض سعر (Proposal)</t>
        </is>
      </c>
      <c r="I8" s="39" t="n">
        <v>22000</v>
      </c>
      <c r="J8" s="40">
        <f>IFERROR(INDEX(Stage_Prob,MATCH(H8,Stage_Names,0)),"")</f>
        <v/>
      </c>
      <c r="K8" s="41">
        <f>IF(OR(H8="",I8=""),"",I8*J8)</f>
        <v/>
      </c>
      <c r="L8" s="42" t="n">
        <v>46120</v>
      </c>
      <c r="M8" s="42" t="n">
        <v>46254</v>
      </c>
      <c r="N8" s="36">
        <f>IFERROR(INDEX(Stage_Type,MATCH(H8,Stage_Names,0)),"")</f>
        <v/>
      </c>
      <c r="O8" s="36">
        <f>IF(OR(H8="",L8=""),"",IF(N8="مفتوح",TODAY()-L8,M8-L8))</f>
        <v/>
      </c>
      <c r="P8" s="36">
        <f>IF(L8="","",TEXT(L8,"YYYY-MM"))</f>
        <v/>
      </c>
      <c r="Q8" s="37" t="inlineStr"/>
    </row>
    <row r="9">
      <c r="A9" s="29">
        <f>IF(B9="","",ROW()-2)</f>
        <v/>
      </c>
      <c r="B9" s="30" t="inlineStr">
        <is>
          <t>دينا عبدالله</t>
        </is>
      </c>
      <c r="C9" s="30" t="inlineStr">
        <is>
          <t>سما العقارية</t>
        </is>
      </c>
      <c r="D9" s="30" t="inlineStr">
        <is>
          <t>دينا@سما.com</t>
        </is>
      </c>
      <c r="E9" s="30" t="inlineStr">
        <is>
          <t>01072043515</t>
        </is>
      </c>
      <c r="F9" s="31" t="inlineStr">
        <is>
          <t>واتساب (WhatsApp)</t>
        </is>
      </c>
      <c r="G9" s="31" t="inlineStr">
        <is>
          <t>محمد فتحي</t>
        </is>
      </c>
      <c r="H9" s="31" t="inlineStr">
        <is>
          <t>خسارة - مغلقة (Lost)</t>
        </is>
      </c>
      <c r="I9" s="32" t="n">
        <v>150000</v>
      </c>
      <c r="J9" s="33">
        <f>IFERROR(INDEX(Stage_Prob,MATCH(H9,Stage_Names,0)),"")</f>
        <v/>
      </c>
      <c r="K9" s="34">
        <f>IF(OR(H9="",I9=""),"",I9*J9)</f>
        <v/>
      </c>
      <c r="L9" s="35" t="n">
        <v>46200</v>
      </c>
      <c r="M9" s="35" t="n">
        <v>46246</v>
      </c>
      <c r="N9" s="29">
        <f>IFERROR(INDEX(Stage_Type,MATCH(H9,Stage_Names,0)),"")</f>
        <v/>
      </c>
      <c r="O9" s="29">
        <f>IF(OR(H9="",L9=""),"",IF(N9="مفتوح",TODAY()-L9,M9-L9))</f>
        <v/>
      </c>
      <c r="P9" s="29">
        <f>IF(L9="","",TEXT(L9,"YYYY-MM"))</f>
        <v/>
      </c>
      <c r="Q9" s="30" t="inlineStr"/>
    </row>
    <row r="10">
      <c r="A10" s="36">
        <f>IF(B10="","",ROW()-2)</f>
        <v/>
      </c>
      <c r="B10" s="37" t="inlineStr">
        <is>
          <t>مصطفى فؤاد</t>
        </is>
      </c>
      <c r="C10" s="37" t="inlineStr">
        <is>
          <t>ذا هب</t>
        </is>
      </c>
      <c r="D10" s="37" t="inlineStr">
        <is>
          <t>مصطفى@ذا.com</t>
        </is>
      </c>
      <c r="E10" s="37" t="inlineStr">
        <is>
          <t>01017507864</t>
        </is>
      </c>
      <c r="F10" s="38" t="inlineStr">
        <is>
          <t>إحالة عميل (Referral)</t>
        </is>
      </c>
      <c r="G10" s="38" t="inlineStr">
        <is>
          <t>أحمد سمير</t>
        </is>
      </c>
      <c r="H10" s="38" t="inlineStr">
        <is>
          <t>فوز - مغلقة (Won)</t>
        </is>
      </c>
      <c r="I10" s="39" t="n">
        <v>90000</v>
      </c>
      <c r="J10" s="40">
        <f>IFERROR(INDEX(Stage_Prob,MATCH(H10,Stage_Names,0)),"")</f>
        <v/>
      </c>
      <c r="K10" s="41">
        <f>IF(OR(H10="",I10=""),"",I10*J10)</f>
        <v/>
      </c>
      <c r="L10" s="42" t="n">
        <v>46188</v>
      </c>
      <c r="M10" s="42" t="n">
        <v>46195</v>
      </c>
      <c r="N10" s="36">
        <f>IFERROR(INDEX(Stage_Type,MATCH(H10,Stage_Names,0)),"")</f>
        <v/>
      </c>
      <c r="O10" s="36">
        <f>IF(OR(H10="",L10=""),"",IF(N10="مفتوح",TODAY()-L10,M10-L10))</f>
        <v/>
      </c>
      <c r="P10" s="36">
        <f>IF(L10="","",TEXT(L10,"YYYY-MM"))</f>
        <v/>
      </c>
      <c r="Q10" s="37" t="inlineStr"/>
    </row>
    <row r="11">
      <c r="A11" s="29">
        <f>IF(B11="","",ROW()-2)</f>
        <v/>
      </c>
      <c r="B11" s="30" t="inlineStr">
        <is>
          <t>ياسمين عبدالله</t>
        </is>
      </c>
      <c r="C11" s="30" t="inlineStr">
        <is>
          <t>جرين لاين</t>
        </is>
      </c>
      <c r="D11" s="30" t="inlineStr">
        <is>
          <t>ياسمين@جرين.com</t>
        </is>
      </c>
      <c r="E11" s="30" t="inlineStr">
        <is>
          <t>01086125617</t>
        </is>
      </c>
      <c r="F11" s="31" t="inlineStr">
        <is>
          <t>معرض / فعالية (Event)</t>
        </is>
      </c>
      <c r="G11" s="31" t="inlineStr">
        <is>
          <t>سارة عادل</t>
        </is>
      </c>
      <c r="H11" s="31" t="inlineStr">
        <is>
          <t>عرض سعر (Proposal)</t>
        </is>
      </c>
      <c r="I11" s="32" t="n">
        <v>90000</v>
      </c>
      <c r="J11" s="33">
        <f>IFERROR(INDEX(Stage_Prob,MATCH(H11,Stage_Names,0)),"")</f>
        <v/>
      </c>
      <c r="K11" s="34">
        <f>IF(OR(H11="",I11=""),"",I11*J11)</f>
        <v/>
      </c>
      <c r="L11" s="35" t="n">
        <v>46092</v>
      </c>
      <c r="M11" s="35" t="n">
        <v>46247</v>
      </c>
      <c r="N11" s="29">
        <f>IFERROR(INDEX(Stage_Type,MATCH(H11,Stage_Names,0)),"")</f>
        <v/>
      </c>
      <c r="O11" s="29">
        <f>IF(OR(H11="",L11=""),"",IF(N11="مفتوح",TODAY()-L11,M11-L11))</f>
        <v/>
      </c>
      <c r="P11" s="29">
        <f>IF(L11="","",TEXT(L11,"YYYY-MM"))</f>
        <v/>
      </c>
      <c r="Q11" s="30" t="inlineStr"/>
    </row>
    <row r="12">
      <c r="A12" s="36">
        <f>IF(B12="","",ROW()-2)</f>
        <v/>
      </c>
      <c r="B12" s="37" t="inlineStr">
        <is>
          <t>شريف عبدالله</t>
        </is>
      </c>
      <c r="C12" s="37" t="inlineStr">
        <is>
          <t>برايم كابيتال</t>
        </is>
      </c>
      <c r="D12" s="37" t="inlineStr">
        <is>
          <t>شريف@برايم.com</t>
        </is>
      </c>
      <c r="E12" s="37" t="inlineStr">
        <is>
          <t>01045551614</t>
        </is>
      </c>
      <c r="F12" s="38" t="inlineStr">
        <is>
          <t>إنستجرام (Instagram)</t>
        </is>
      </c>
      <c r="G12" s="38" t="inlineStr">
        <is>
          <t>سارة عادل</t>
        </is>
      </c>
      <c r="H12" s="38" t="inlineStr">
        <is>
          <t>تفاوض (Negotiation)</t>
        </is>
      </c>
      <c r="I12" s="39" t="n">
        <v>150000</v>
      </c>
      <c r="J12" s="40">
        <f>IFERROR(INDEX(Stage_Prob,MATCH(H12,Stage_Names,0)),"")</f>
        <v/>
      </c>
      <c r="K12" s="41">
        <f>IF(OR(H12="",I12=""),"",I12*J12)</f>
        <v/>
      </c>
      <c r="L12" s="42" t="n">
        <v>46189</v>
      </c>
      <c r="M12" s="42" t="n">
        <v>46248</v>
      </c>
      <c r="N12" s="36">
        <f>IFERROR(INDEX(Stage_Type,MATCH(H12,Stage_Names,0)),"")</f>
        <v/>
      </c>
      <c r="O12" s="36">
        <f>IF(OR(H12="",L12=""),"",IF(N12="مفتوح",TODAY()-L12,M12-L12))</f>
        <v/>
      </c>
      <c r="P12" s="36">
        <f>IF(L12="","",TEXT(L12,"YYYY-MM"))</f>
        <v/>
      </c>
      <c r="Q12" s="37" t="inlineStr"/>
    </row>
    <row r="13">
      <c r="A13" s="29">
        <f>IF(B13="","",ROW()-2)</f>
        <v/>
      </c>
      <c r="B13" s="30" t="inlineStr">
        <is>
          <t>ندى راشد</t>
        </is>
      </c>
      <c r="C13" s="30" t="inlineStr">
        <is>
          <t>سيتي مول</t>
        </is>
      </c>
      <c r="D13" s="30" t="inlineStr">
        <is>
          <t>ندى@سيتي.com</t>
        </is>
      </c>
      <c r="E13" s="30" t="inlineStr">
        <is>
          <t>01063606628</t>
        </is>
      </c>
      <c r="F13" s="31" t="inlineStr">
        <is>
          <t>معرض / فعالية (Event)</t>
        </is>
      </c>
      <c r="G13" s="31" t="inlineStr">
        <is>
          <t>سارة عادل</t>
        </is>
      </c>
      <c r="H13" s="31" t="inlineStr">
        <is>
          <t>خسارة - مغلقة (Lost)</t>
        </is>
      </c>
      <c r="I13" s="32" t="n">
        <v>22000</v>
      </c>
      <c r="J13" s="33">
        <f>IFERROR(INDEX(Stage_Prob,MATCH(H13,Stage_Names,0)),"")</f>
        <v/>
      </c>
      <c r="K13" s="34">
        <f>IF(OR(H13="",I13=""),"",I13*J13)</f>
        <v/>
      </c>
      <c r="L13" s="35" t="n">
        <v>46126</v>
      </c>
      <c r="M13" s="35" t="n">
        <v>46160</v>
      </c>
      <c r="N13" s="29">
        <f>IFERROR(INDEX(Stage_Type,MATCH(H13,Stage_Names,0)),"")</f>
        <v/>
      </c>
      <c r="O13" s="29">
        <f>IF(OR(H13="",L13=""),"",IF(N13="مفتوح",TODAY()-L13,M13-L13))</f>
        <v/>
      </c>
      <c r="P13" s="29">
        <f>IF(L13="","",TEXT(L13,"YYYY-MM"))</f>
        <v/>
      </c>
      <c r="Q13" s="30" t="inlineStr"/>
    </row>
    <row r="14">
      <c r="A14" s="36">
        <f>IF(B14="","",ROW()-2)</f>
        <v/>
      </c>
      <c r="B14" s="37" t="inlineStr">
        <is>
          <t>حسام السيد</t>
        </is>
      </c>
      <c r="C14" s="37" t="inlineStr">
        <is>
          <t>الوادي الأخضر</t>
        </is>
      </c>
      <c r="D14" s="37" t="inlineStr">
        <is>
          <t>حسام@الوادي.com</t>
        </is>
      </c>
      <c r="E14" s="37" t="inlineStr">
        <is>
          <t>01016323852</t>
        </is>
      </c>
      <c r="F14" s="38" t="inlineStr">
        <is>
          <t>فيسبوك (Facebook)</t>
        </is>
      </c>
      <c r="G14" s="38" t="inlineStr">
        <is>
          <t>سارة عادل</t>
        </is>
      </c>
      <c r="H14" s="38" t="inlineStr">
        <is>
          <t>عرض سعر (Proposal)</t>
        </is>
      </c>
      <c r="I14" s="39" t="n">
        <v>90000</v>
      </c>
      <c r="J14" s="40">
        <f>IFERROR(INDEX(Stage_Prob,MATCH(H14,Stage_Names,0)),"")</f>
        <v/>
      </c>
      <c r="K14" s="41">
        <f>IF(OR(H14="",I14=""),"",I14*J14)</f>
        <v/>
      </c>
      <c r="L14" s="42" t="n">
        <v>46104</v>
      </c>
      <c r="M14" s="42" t="n">
        <v>46259</v>
      </c>
      <c r="N14" s="36">
        <f>IFERROR(INDEX(Stage_Type,MATCH(H14,Stage_Names,0)),"")</f>
        <v/>
      </c>
      <c r="O14" s="36">
        <f>IF(OR(H14="",L14=""),"",IF(N14="مفتوح",TODAY()-L14,M14-L14))</f>
        <v/>
      </c>
      <c r="P14" s="36">
        <f>IF(L14="","",TEXT(L14,"YYYY-MM"))</f>
        <v/>
      </c>
      <c r="Q14" s="37" t="inlineStr"/>
    </row>
    <row r="15">
      <c r="A15" s="29">
        <f>IF(B15="","",ROW()-2)</f>
        <v/>
      </c>
      <c r="B15" s="30" t="inlineStr">
        <is>
          <t>ليلى منصور</t>
        </is>
      </c>
      <c r="C15" s="30" t="inlineStr">
        <is>
          <t>بايونير جروب</t>
        </is>
      </c>
      <c r="D15" s="30" t="inlineStr">
        <is>
          <t>ليلى@بايونير.com</t>
        </is>
      </c>
      <c r="E15" s="30" t="inlineStr">
        <is>
          <t>01061220073</t>
        </is>
      </c>
      <c r="F15" s="31" t="inlineStr">
        <is>
          <t>أخرى (Other)</t>
        </is>
      </c>
      <c r="G15" s="31" t="inlineStr">
        <is>
          <t>يوسف كامل</t>
        </is>
      </c>
      <c r="H15" s="31" t="inlineStr">
        <is>
          <t>تم التواصل (Contacted)</t>
        </is>
      </c>
      <c r="I15" s="32" t="n">
        <v>150000</v>
      </c>
      <c r="J15" s="33">
        <f>IFERROR(INDEX(Stage_Prob,MATCH(H15,Stage_Names,0)),"")</f>
        <v/>
      </c>
      <c r="K15" s="34">
        <f>IF(OR(H15="",I15=""),"",I15*J15)</f>
        <v/>
      </c>
      <c r="L15" s="35" t="n">
        <v>46254</v>
      </c>
      <c r="M15" s="35" t="n">
        <v>46258</v>
      </c>
      <c r="N15" s="29">
        <f>IFERROR(INDEX(Stage_Type,MATCH(H15,Stage_Names,0)),"")</f>
        <v/>
      </c>
      <c r="O15" s="29">
        <f>IF(OR(H15="",L15=""),"",IF(N15="مفتوح",TODAY()-L15,M15-L15))</f>
        <v/>
      </c>
      <c r="P15" s="29">
        <f>IF(L15="","",TEXT(L15,"YYYY-MM"))</f>
        <v/>
      </c>
      <c r="Q15" s="30" t="inlineStr"/>
    </row>
    <row r="16">
      <c r="A16" s="36">
        <f>IF(B16="","",ROW()-2)</f>
        <v/>
      </c>
      <c r="B16" s="37" t="inlineStr">
        <is>
          <t>وائل جمال</t>
        </is>
      </c>
      <c r="C16" s="37" t="inlineStr">
        <is>
          <t>المتحدة للمقاولات</t>
        </is>
      </c>
      <c r="D16" s="37" t="inlineStr">
        <is>
          <t>وائل@المتحدة.com</t>
        </is>
      </c>
      <c r="E16" s="37" t="inlineStr">
        <is>
          <t>01082070937</t>
        </is>
      </c>
      <c r="F16" s="38" t="inlineStr">
        <is>
          <t>اتصال بارد (Cold Call)</t>
        </is>
      </c>
      <c r="G16" s="38" t="inlineStr">
        <is>
          <t>محمد فتحي</t>
        </is>
      </c>
      <c r="H16" s="38" t="inlineStr">
        <is>
          <t>جديد (New)</t>
        </is>
      </c>
      <c r="I16" s="39" t="n">
        <v>90000</v>
      </c>
      <c r="J16" s="40">
        <f>IFERROR(INDEX(Stage_Prob,MATCH(H16,Stage_Names,0)),"")</f>
        <v/>
      </c>
      <c r="K16" s="41">
        <f>IF(OR(H16="",I16=""),"",I16*J16)</f>
        <v/>
      </c>
      <c r="L16" s="42" t="n">
        <v>46216</v>
      </c>
      <c r="M16" s="42" t="n">
        <v>46247</v>
      </c>
      <c r="N16" s="36">
        <f>IFERROR(INDEX(Stage_Type,MATCH(H16,Stage_Names,0)),"")</f>
        <v/>
      </c>
      <c r="O16" s="36">
        <f>IF(OR(H16="",L16=""),"",IF(N16="مفتوح",TODAY()-L16,M16-L16))</f>
        <v/>
      </c>
      <c r="P16" s="36">
        <f>IF(L16="","",TEXT(L16,"YYYY-MM"))</f>
        <v/>
      </c>
      <c r="Q16" s="37" t="inlineStr"/>
    </row>
    <row r="17">
      <c r="A17" s="29">
        <f>IF(B17="","",ROW()-2)</f>
        <v/>
      </c>
      <c r="B17" s="30" t="inlineStr">
        <is>
          <t>سلمى السيد</t>
        </is>
      </c>
      <c r="C17" s="30" t="inlineStr">
        <is>
          <t>أفق التسويق</t>
        </is>
      </c>
      <c r="D17" s="30" t="inlineStr">
        <is>
          <t>سلمى@أفق.com</t>
        </is>
      </c>
      <c r="E17" s="30" t="inlineStr">
        <is>
          <t>01045351479</t>
        </is>
      </c>
      <c r="F17" s="31" t="inlineStr">
        <is>
          <t>إنستجرام (Instagram)</t>
        </is>
      </c>
      <c r="G17" s="31" t="inlineStr">
        <is>
          <t>يوسف كامل</t>
        </is>
      </c>
      <c r="H17" s="31" t="inlineStr">
        <is>
          <t>فوز - مغلقة (Won)</t>
        </is>
      </c>
      <c r="I17" s="32" t="n">
        <v>50000</v>
      </c>
      <c r="J17" s="33">
        <f>IFERROR(INDEX(Stage_Prob,MATCH(H17,Stage_Names,0)),"")</f>
        <v/>
      </c>
      <c r="K17" s="34">
        <f>IF(OR(H17="",I17=""),"",I17*J17)</f>
        <v/>
      </c>
      <c r="L17" s="35" t="n">
        <v>46093</v>
      </c>
      <c r="M17" s="35" t="n">
        <v>46128</v>
      </c>
      <c r="N17" s="29">
        <f>IFERROR(INDEX(Stage_Type,MATCH(H17,Stage_Names,0)),"")</f>
        <v/>
      </c>
      <c r="O17" s="29">
        <f>IF(OR(H17="",L17=""),"",IF(N17="مفتوح",TODAY()-L17,M17-L17))</f>
        <v/>
      </c>
      <c r="P17" s="29">
        <f>IF(L17="","",TEXT(L17,"YYYY-MM"))</f>
        <v/>
      </c>
      <c r="Q17" s="30" t="inlineStr"/>
    </row>
    <row r="18">
      <c r="A18" s="36">
        <f>IF(B18="","",ROW()-2)</f>
        <v/>
      </c>
      <c r="B18" s="37" t="inlineStr">
        <is>
          <t>أدهم راشد</t>
        </is>
      </c>
      <c r="C18" s="37" t="inlineStr">
        <is>
          <t>ذا فالي</t>
        </is>
      </c>
      <c r="D18" s="37" t="inlineStr">
        <is>
          <t>أدهم@ذا.com</t>
        </is>
      </c>
      <c r="E18" s="37" t="inlineStr">
        <is>
          <t>01036697396</t>
        </is>
      </c>
      <c r="F18" s="38" t="inlineStr">
        <is>
          <t>إنستجرام (Instagram)</t>
        </is>
      </c>
      <c r="G18" s="38" t="inlineStr">
        <is>
          <t>محمد فتحي</t>
        </is>
      </c>
      <c r="H18" s="38" t="inlineStr">
        <is>
          <t>تفاوض (Negotiation)</t>
        </is>
      </c>
      <c r="I18" s="39" t="n">
        <v>150000</v>
      </c>
      <c r="J18" s="40">
        <f>IFERROR(INDEX(Stage_Prob,MATCH(H18,Stage_Names,0)),"")</f>
        <v/>
      </c>
      <c r="K18" s="41">
        <f>IF(OR(H18="",I18=""),"",I18*J18)</f>
        <v/>
      </c>
      <c r="L18" s="42" t="n">
        <v>46121</v>
      </c>
      <c r="M18" s="42" t="n">
        <v>46261</v>
      </c>
      <c r="N18" s="36">
        <f>IFERROR(INDEX(Stage_Type,MATCH(H18,Stage_Names,0)),"")</f>
        <v/>
      </c>
      <c r="O18" s="36">
        <f>IF(OR(H18="",L18=""),"",IF(N18="مفتوح",TODAY()-L18,M18-L18))</f>
        <v/>
      </c>
      <c r="P18" s="36">
        <f>IF(L18="","",TEXT(L18,"YYYY-MM"))</f>
        <v/>
      </c>
      <c r="Q18" s="37" t="inlineStr"/>
    </row>
    <row r="19">
      <c r="A19" s="29">
        <f>IF(B19="","",ROW()-2)</f>
        <v/>
      </c>
      <c r="B19" s="30" t="inlineStr">
        <is>
          <t>مريم راشد</t>
        </is>
      </c>
      <c r="C19" s="30" t="inlineStr">
        <is>
          <t>مجموعة القاهرة</t>
        </is>
      </c>
      <c r="D19" s="30" t="inlineStr">
        <is>
          <t>مريم@مجموعة.com</t>
        </is>
      </c>
      <c r="E19" s="30" t="inlineStr">
        <is>
          <t>01053507489</t>
        </is>
      </c>
      <c r="F19" s="31" t="inlineStr">
        <is>
          <t>أخرى (Other)</t>
        </is>
      </c>
      <c r="G19" s="31" t="inlineStr">
        <is>
          <t>أحمد سمير</t>
        </is>
      </c>
      <c r="H19" s="31" t="inlineStr">
        <is>
          <t>جديد (New)</t>
        </is>
      </c>
      <c r="I19" s="32" t="n">
        <v>65000</v>
      </c>
      <c r="J19" s="33">
        <f>IFERROR(INDEX(Stage_Prob,MATCH(H19,Stage_Names,0)),"")</f>
        <v/>
      </c>
      <c r="K19" s="34">
        <f>IF(OR(H19="",I19=""),"",I19*J19)</f>
        <v/>
      </c>
      <c r="L19" s="35" t="n">
        <v>46178</v>
      </c>
      <c r="M19" s="35" t="n">
        <v>46254</v>
      </c>
      <c r="N19" s="29">
        <f>IFERROR(INDEX(Stage_Type,MATCH(H19,Stage_Names,0)),"")</f>
        <v/>
      </c>
      <c r="O19" s="29">
        <f>IF(OR(H19="",L19=""),"",IF(N19="مفتوح",TODAY()-L19,M19-L19))</f>
        <v/>
      </c>
      <c r="P19" s="29">
        <f>IF(L19="","",TEXT(L19,"YYYY-MM"))</f>
        <v/>
      </c>
      <c r="Q19" s="30" t="inlineStr"/>
    </row>
    <row r="20">
      <c r="A20" s="36">
        <f>IF(B20="","",ROW()-2)</f>
        <v/>
      </c>
      <c r="B20" s="37" t="inlineStr">
        <is>
          <t>خالد السيد</t>
        </is>
      </c>
      <c r="C20" s="37" t="inlineStr">
        <is>
          <t>أوركيد جروب</t>
        </is>
      </c>
      <c r="D20" s="37" t="inlineStr">
        <is>
          <t>خالد@أوركيد.com</t>
        </is>
      </c>
      <c r="E20" s="37" t="inlineStr">
        <is>
          <t>01042329237</t>
        </is>
      </c>
      <c r="F20" s="38" t="inlineStr">
        <is>
          <t>فيسبوك (Facebook)</t>
        </is>
      </c>
      <c r="G20" s="38" t="inlineStr">
        <is>
          <t>أحمد سمير</t>
        </is>
      </c>
      <c r="H20" s="38" t="inlineStr">
        <is>
          <t>تفاوض (Negotiation)</t>
        </is>
      </c>
      <c r="I20" s="39" t="n">
        <v>15000</v>
      </c>
      <c r="J20" s="40">
        <f>IFERROR(INDEX(Stage_Prob,MATCH(H20,Stage_Names,0)),"")</f>
        <v/>
      </c>
      <c r="K20" s="41">
        <f>IF(OR(H20="",I20=""),"",I20*J20)</f>
        <v/>
      </c>
      <c r="L20" s="42" t="n">
        <v>46120</v>
      </c>
      <c r="M20" s="42" t="n">
        <v>46257</v>
      </c>
      <c r="N20" s="36">
        <f>IFERROR(INDEX(Stage_Type,MATCH(H20,Stage_Names,0)),"")</f>
        <v/>
      </c>
      <c r="O20" s="36">
        <f>IF(OR(H20="",L20=""),"",IF(N20="مفتوح",TODAY()-L20,M20-L20))</f>
        <v/>
      </c>
      <c r="P20" s="36">
        <f>IF(L20="","",TEXT(L20,"YYYY-MM"))</f>
        <v/>
      </c>
      <c r="Q20" s="37" t="inlineStr"/>
    </row>
    <row r="21">
      <c r="A21" s="29">
        <f>IF(B21="","",ROW()-2)</f>
        <v/>
      </c>
      <c r="B21" s="30" t="inlineStr">
        <is>
          <t>رنا عبدالله</t>
        </is>
      </c>
      <c r="C21" s="30" t="inlineStr">
        <is>
          <t>الشرق للاستيراد</t>
        </is>
      </c>
      <c r="D21" s="30" t="inlineStr">
        <is>
          <t>رنا@الشرق.com</t>
        </is>
      </c>
      <c r="E21" s="30" t="inlineStr">
        <is>
          <t>01098550256</t>
        </is>
      </c>
      <c r="F21" s="31" t="inlineStr">
        <is>
          <t>أخرى (Other)</t>
        </is>
      </c>
      <c r="G21" s="31" t="inlineStr">
        <is>
          <t>يوسف كامل</t>
        </is>
      </c>
      <c r="H21" s="31" t="inlineStr">
        <is>
          <t>تم التواصل (Contacted)</t>
        </is>
      </c>
      <c r="I21" s="32" t="n">
        <v>150000</v>
      </c>
      <c r="J21" s="33">
        <f>IFERROR(INDEX(Stage_Prob,MATCH(H21,Stage_Names,0)),"")</f>
        <v/>
      </c>
      <c r="K21" s="34">
        <f>IF(OR(H21="",I21=""),"",I21*J21)</f>
        <v/>
      </c>
      <c r="L21" s="35" t="n">
        <v>46101</v>
      </c>
      <c r="M21" s="35" t="n">
        <v>46248</v>
      </c>
      <c r="N21" s="29">
        <f>IFERROR(INDEX(Stage_Type,MATCH(H21,Stage_Names,0)),"")</f>
        <v/>
      </c>
      <c r="O21" s="29">
        <f>IF(OR(H21="",L21=""),"",IF(N21="مفتوح",TODAY()-L21,M21-L21))</f>
        <v/>
      </c>
      <c r="P21" s="29">
        <f>IF(L21="","",TEXT(L21,"YYYY-MM"))</f>
        <v/>
      </c>
      <c r="Q21" s="30" t="inlineStr"/>
    </row>
    <row r="22">
      <c r="A22" s="36">
        <f>IF(B22="","",ROW()-2)</f>
        <v/>
      </c>
      <c r="B22" s="37" t="inlineStr">
        <is>
          <t>باسم عبدالله</t>
        </is>
      </c>
      <c r="C22" s="37" t="inlineStr">
        <is>
          <t>دلتا تكنولوجي</t>
        </is>
      </c>
      <c r="D22" s="37" t="inlineStr">
        <is>
          <t>باسم@دلتا.com</t>
        </is>
      </c>
      <c r="E22" s="37" t="inlineStr">
        <is>
          <t>01082383095</t>
        </is>
      </c>
      <c r="F22" s="38" t="inlineStr">
        <is>
          <t>إحالة عميل (Referral)</t>
        </is>
      </c>
      <c r="G22" s="38" t="inlineStr">
        <is>
          <t>محمد فتحي</t>
        </is>
      </c>
      <c r="H22" s="38" t="inlineStr">
        <is>
          <t>مؤهل (Qualified)</t>
        </is>
      </c>
      <c r="I22" s="39" t="n">
        <v>65000</v>
      </c>
      <c r="J22" s="40">
        <f>IFERROR(INDEX(Stage_Prob,MATCH(H22,Stage_Names,0)),"")</f>
        <v/>
      </c>
      <c r="K22" s="41">
        <f>IF(OR(H22="",I22=""),"",I22*J22)</f>
        <v/>
      </c>
      <c r="L22" s="42" t="n">
        <v>46144</v>
      </c>
      <c r="M22" s="42" t="n">
        <v>46247</v>
      </c>
      <c r="N22" s="36">
        <f>IFERROR(INDEX(Stage_Type,MATCH(H22,Stage_Names,0)),"")</f>
        <v/>
      </c>
      <c r="O22" s="36">
        <f>IF(OR(H22="",L22=""),"",IF(N22="مفتوح",TODAY()-L22,M22-L22))</f>
        <v/>
      </c>
      <c r="P22" s="36">
        <f>IF(L22="","",TEXT(L22,"YYYY-MM"))</f>
        <v/>
      </c>
      <c r="Q22" s="37" t="inlineStr"/>
    </row>
    <row r="23">
      <c r="A23" s="29">
        <f>IF(B23="","",ROW()-2)</f>
        <v/>
      </c>
      <c r="B23" s="30" t="inlineStr">
        <is>
          <t>علياء السيد</t>
        </is>
      </c>
      <c r="C23" s="30" t="inlineStr">
        <is>
          <t>لوجيك سوفت</t>
        </is>
      </c>
      <c r="D23" s="30" t="inlineStr">
        <is>
          <t>علياء@لوجيك.com</t>
        </is>
      </c>
      <c r="E23" s="30" t="inlineStr">
        <is>
          <t>01043273328</t>
        </is>
      </c>
      <c r="F23" s="31" t="inlineStr">
        <is>
          <t>إحالة عميل (Referral)</t>
        </is>
      </c>
      <c r="G23" s="31" t="inlineStr">
        <is>
          <t>أحمد سمير</t>
        </is>
      </c>
      <c r="H23" s="31" t="inlineStr">
        <is>
          <t>تم التواصل (Contacted)</t>
        </is>
      </c>
      <c r="I23" s="32" t="n">
        <v>45000</v>
      </c>
      <c r="J23" s="33">
        <f>IFERROR(INDEX(Stage_Prob,MATCH(H23,Stage_Names,0)),"")</f>
        <v/>
      </c>
      <c r="K23" s="34">
        <f>IF(OR(H23="",I23=""),"",I23*J23)</f>
        <v/>
      </c>
      <c r="L23" s="35" t="n">
        <v>46115</v>
      </c>
      <c r="M23" s="35" t="n">
        <v>46254</v>
      </c>
      <c r="N23" s="29">
        <f>IFERROR(INDEX(Stage_Type,MATCH(H23,Stage_Names,0)),"")</f>
        <v/>
      </c>
      <c r="O23" s="29">
        <f>IF(OR(H23="",L23=""),"",IF(N23="مفتوح",TODAY()-L23,M23-L23))</f>
        <v/>
      </c>
      <c r="P23" s="29">
        <f>IF(L23="","",TEXT(L23,"YYYY-MM"))</f>
        <v/>
      </c>
      <c r="Q23" s="30" t="inlineStr"/>
    </row>
    <row r="24">
      <c r="A24" s="36">
        <f>IF(B24="","",ROW()-2)</f>
        <v/>
      </c>
      <c r="B24" s="37" t="inlineStr">
        <is>
          <t>فادي راشد</t>
        </is>
      </c>
      <c r="C24" s="37" t="inlineStr">
        <is>
          <t>نايل فيو</t>
        </is>
      </c>
      <c r="D24" s="37" t="inlineStr">
        <is>
          <t>فادي@نايل.com</t>
        </is>
      </c>
      <c r="E24" s="37" t="inlineStr">
        <is>
          <t>01039557077</t>
        </is>
      </c>
      <c r="F24" s="38" t="inlineStr">
        <is>
          <t>الموقع الإلكتروني (Website)</t>
        </is>
      </c>
      <c r="G24" s="38" t="inlineStr">
        <is>
          <t>أحمد سمير</t>
        </is>
      </c>
      <c r="H24" s="38" t="inlineStr">
        <is>
          <t>تفاوض (Negotiation)</t>
        </is>
      </c>
      <c r="I24" s="39" t="n">
        <v>8000</v>
      </c>
      <c r="J24" s="40">
        <f>IFERROR(INDEX(Stage_Prob,MATCH(H24,Stage_Names,0)),"")</f>
        <v/>
      </c>
      <c r="K24" s="41">
        <f>IF(OR(H24="",I24=""),"",I24*J24)</f>
        <v/>
      </c>
      <c r="L24" s="42" t="n">
        <v>46198</v>
      </c>
      <c r="M24" s="42" t="n">
        <v>46259</v>
      </c>
      <c r="N24" s="36">
        <f>IFERROR(INDEX(Stage_Type,MATCH(H24,Stage_Names,0)),"")</f>
        <v/>
      </c>
      <c r="O24" s="36">
        <f>IF(OR(H24="",L24=""),"",IF(N24="مفتوح",TODAY()-L24,M24-L24))</f>
        <v/>
      </c>
      <c r="P24" s="36">
        <f>IF(L24="","",TEXT(L24,"YYYY-MM"))</f>
        <v/>
      </c>
      <c r="Q24" s="37" t="inlineStr"/>
    </row>
    <row r="25">
      <c r="A25" s="29">
        <f>IF(B25="","",ROW()-2)</f>
        <v/>
      </c>
      <c r="B25" s="30" t="inlineStr">
        <is>
          <t>جنى السيد</t>
        </is>
      </c>
      <c r="C25" s="30" t="inlineStr">
        <is>
          <t>بيتا للاستشارات</t>
        </is>
      </c>
      <c r="D25" s="30" t="inlineStr">
        <is>
          <t>جنى@بيتا.com</t>
        </is>
      </c>
      <c r="E25" s="30" t="inlineStr">
        <is>
          <t>01054349361</t>
        </is>
      </c>
      <c r="F25" s="31" t="inlineStr">
        <is>
          <t>فيسبوك (Facebook)</t>
        </is>
      </c>
      <c r="G25" s="31" t="inlineStr">
        <is>
          <t>يوسف كامل</t>
        </is>
      </c>
      <c r="H25" s="31" t="inlineStr">
        <is>
          <t>تم التواصل (Contacted)</t>
        </is>
      </c>
      <c r="I25" s="32" t="n">
        <v>120000</v>
      </c>
      <c r="J25" s="33">
        <f>IFERROR(INDEX(Stage_Prob,MATCH(H25,Stage_Names,0)),"")</f>
        <v/>
      </c>
      <c r="K25" s="34">
        <f>IF(OR(H25="",I25=""),"",I25*J25)</f>
        <v/>
      </c>
      <c r="L25" s="35" t="n">
        <v>46202</v>
      </c>
      <c r="M25" s="35" t="n">
        <v>46257</v>
      </c>
      <c r="N25" s="29">
        <f>IFERROR(INDEX(Stage_Type,MATCH(H25,Stage_Names,0)),"")</f>
        <v/>
      </c>
      <c r="O25" s="29">
        <f>IF(OR(H25="",L25=""),"",IF(N25="مفتوح",TODAY()-L25,M25-L25))</f>
        <v/>
      </c>
      <c r="P25" s="29">
        <f>IF(L25="","",TEXT(L25,"YYYY-MM"))</f>
        <v/>
      </c>
      <c r="Q25" s="30" t="inlineStr"/>
    </row>
    <row r="26">
      <c r="A26" s="36">
        <f>IF(B26="","",ROW()-2)</f>
        <v/>
      </c>
      <c r="B26" s="37" t="inlineStr">
        <is>
          <t>زياد جمال</t>
        </is>
      </c>
      <c r="C26" s="37" t="inlineStr">
        <is>
          <t>سبيد لوجيستيك</t>
        </is>
      </c>
      <c r="D26" s="37" t="inlineStr">
        <is>
          <t>زياد@سبيد.com</t>
        </is>
      </c>
      <c r="E26" s="37" t="inlineStr">
        <is>
          <t>01086644106</t>
        </is>
      </c>
      <c r="F26" s="38" t="inlineStr">
        <is>
          <t>أخرى (Other)</t>
        </is>
      </c>
      <c r="G26" s="38" t="inlineStr">
        <is>
          <t>سارة عادل</t>
        </is>
      </c>
      <c r="H26" s="38" t="inlineStr">
        <is>
          <t>تفاوض (Negotiation)</t>
        </is>
      </c>
      <c r="I26" s="39" t="n">
        <v>90000</v>
      </c>
      <c r="J26" s="40">
        <f>IFERROR(INDEX(Stage_Prob,MATCH(H26,Stage_Names,0)),"")</f>
        <v/>
      </c>
      <c r="K26" s="41">
        <f>IF(OR(H26="",I26=""),"",I26*J26)</f>
        <v/>
      </c>
      <c r="L26" s="42" t="n">
        <v>46208</v>
      </c>
      <c r="M26" s="42" t="n">
        <v>46258</v>
      </c>
      <c r="N26" s="36">
        <f>IFERROR(INDEX(Stage_Type,MATCH(H26,Stage_Names,0)),"")</f>
        <v/>
      </c>
      <c r="O26" s="36">
        <f>IF(OR(H26="",L26=""),"",IF(N26="مفتوح",TODAY()-L26,M26-L26))</f>
        <v/>
      </c>
      <c r="P26" s="36">
        <f>IF(L26="","",TEXT(L26,"YYYY-MM"))</f>
        <v/>
      </c>
      <c r="Q26" s="37" t="inlineStr"/>
    </row>
    <row r="27">
      <c r="A27" s="29">
        <f>IF(B27="","",ROW()-2)</f>
        <v/>
      </c>
      <c r="B27" s="30" t="inlineStr">
        <is>
          <t>روان السيد</t>
        </is>
      </c>
      <c r="C27" s="30" t="inlineStr">
        <is>
          <t>نور الصناعية</t>
        </is>
      </c>
      <c r="D27" s="30" t="inlineStr">
        <is>
          <t>روان@نور.com</t>
        </is>
      </c>
      <c r="E27" s="30" t="inlineStr">
        <is>
          <t>01098447167</t>
        </is>
      </c>
      <c r="F27" s="31" t="inlineStr">
        <is>
          <t>واتساب (WhatsApp)</t>
        </is>
      </c>
      <c r="G27" s="31" t="inlineStr">
        <is>
          <t>محمد فتحي</t>
        </is>
      </c>
      <c r="H27" s="31" t="inlineStr">
        <is>
          <t>مؤهل (Qualified)</t>
        </is>
      </c>
      <c r="I27" s="32" t="n">
        <v>120000</v>
      </c>
      <c r="J27" s="33">
        <f>IFERROR(INDEX(Stage_Prob,MATCH(H27,Stage_Names,0)),"")</f>
        <v/>
      </c>
      <c r="K27" s="34">
        <f>IF(OR(H27="",I27=""),"",I27*J27)</f>
        <v/>
      </c>
      <c r="L27" s="35" t="n">
        <v>46243</v>
      </c>
      <c r="M27" s="35" t="n">
        <v>46258</v>
      </c>
      <c r="N27" s="29">
        <f>IFERROR(INDEX(Stage_Type,MATCH(H27,Stage_Names,0)),"")</f>
        <v/>
      </c>
      <c r="O27" s="29">
        <f>IF(OR(H27="",L27=""),"",IF(N27="مفتوح",TODAY()-L27,M27-L27))</f>
        <v/>
      </c>
      <c r="P27" s="29">
        <f>IF(L27="","",TEXT(L27,"YYYY-MM"))</f>
        <v/>
      </c>
      <c r="Q27" s="30" t="inlineStr"/>
    </row>
    <row r="28">
      <c r="A28" s="36">
        <f>IF(B28="","",ROW()-2)</f>
        <v/>
      </c>
      <c r="B28" s="37" t="inlineStr">
        <is>
          <t>بلال السيد</t>
        </is>
      </c>
      <c r="C28" s="37" t="inlineStr">
        <is>
          <t>المصرية للحلول</t>
        </is>
      </c>
      <c r="D28" s="37" t="inlineStr">
        <is>
          <t>بلال@المصرية.com</t>
        </is>
      </c>
      <c r="E28" s="37" t="inlineStr">
        <is>
          <t>01064038913</t>
        </is>
      </c>
      <c r="F28" s="38" t="inlineStr">
        <is>
          <t>معرض / فعالية (Event)</t>
        </is>
      </c>
      <c r="G28" s="38" t="inlineStr">
        <is>
          <t>أحمد سمير</t>
        </is>
      </c>
      <c r="H28" s="38" t="inlineStr">
        <is>
          <t>تم التواصل (Contacted)</t>
        </is>
      </c>
      <c r="I28" s="39" t="n">
        <v>35000</v>
      </c>
      <c r="J28" s="40">
        <f>IFERROR(INDEX(Stage_Prob,MATCH(H28,Stage_Names,0)),"")</f>
        <v/>
      </c>
      <c r="K28" s="41">
        <f>IF(OR(H28="",I28=""),"",I28*J28)</f>
        <v/>
      </c>
      <c r="L28" s="42" t="n">
        <v>46119</v>
      </c>
      <c r="M28" s="42" t="n">
        <v>46247</v>
      </c>
      <c r="N28" s="36">
        <f>IFERROR(INDEX(Stage_Type,MATCH(H28,Stage_Names,0)),"")</f>
        <v/>
      </c>
      <c r="O28" s="36">
        <f>IF(OR(H28="",L28=""),"",IF(N28="مفتوح",TODAY()-L28,M28-L28))</f>
        <v/>
      </c>
      <c r="P28" s="36">
        <f>IF(L28="","",TEXT(L28,"YYYY-MM"))</f>
        <v/>
      </c>
      <c r="Q28" s="37" t="inlineStr"/>
    </row>
    <row r="29">
      <c r="A29" s="29">
        <f>IF(B29="","",ROW()-2)</f>
        <v/>
      </c>
      <c r="B29" s="30" t="inlineStr">
        <is>
          <t>هدى عبدالله</t>
        </is>
      </c>
      <c r="C29" s="30" t="inlineStr">
        <is>
          <t>الأمل الطبية</t>
        </is>
      </c>
      <c r="D29" s="30" t="inlineStr">
        <is>
          <t>هدى@الأمل.com</t>
        </is>
      </c>
      <c r="E29" s="30" t="inlineStr">
        <is>
          <t>01066623995</t>
        </is>
      </c>
      <c r="F29" s="31" t="inlineStr">
        <is>
          <t>إنستجرام (Instagram)</t>
        </is>
      </c>
      <c r="G29" s="31" t="inlineStr">
        <is>
          <t>محمد فتحي</t>
        </is>
      </c>
      <c r="H29" s="31" t="inlineStr">
        <is>
          <t>مؤهل (Qualified)</t>
        </is>
      </c>
      <c r="I29" s="32" t="n">
        <v>15000</v>
      </c>
      <c r="J29" s="33">
        <f>IFERROR(INDEX(Stage_Prob,MATCH(H29,Stage_Names,0)),"")</f>
        <v/>
      </c>
      <c r="K29" s="34">
        <f>IF(OR(H29="",I29=""),"",I29*J29)</f>
        <v/>
      </c>
      <c r="L29" s="35" t="n">
        <v>46143</v>
      </c>
      <c r="M29" s="35" t="n">
        <v>46258</v>
      </c>
      <c r="N29" s="29">
        <f>IFERROR(INDEX(Stage_Type,MATCH(H29,Stage_Names,0)),"")</f>
        <v/>
      </c>
      <c r="O29" s="29">
        <f>IF(OR(H29="",L29=""),"",IF(N29="مفتوح",TODAY()-L29,M29-L29))</f>
        <v/>
      </c>
      <c r="P29" s="29">
        <f>IF(L29="","",TEXT(L29,"YYYY-MM"))</f>
        <v/>
      </c>
      <c r="Q29" s="30" t="inlineStr"/>
    </row>
    <row r="30">
      <c r="A30" s="36">
        <f>IF(B30="","",ROW()-2)</f>
        <v/>
      </c>
      <c r="B30" s="37" t="inlineStr">
        <is>
          <t>سامح السيد</t>
        </is>
      </c>
      <c r="C30" s="37" t="inlineStr">
        <is>
          <t>شركة النيل للتجارة</t>
        </is>
      </c>
      <c r="D30" s="37" t="inlineStr">
        <is>
          <t>سامح@شركة.com</t>
        </is>
      </c>
      <c r="E30" s="37" t="inlineStr">
        <is>
          <t>01097529405</t>
        </is>
      </c>
      <c r="F30" s="38" t="inlineStr">
        <is>
          <t>الموقع الإلكتروني (Website)</t>
        </is>
      </c>
      <c r="G30" s="38" t="inlineStr">
        <is>
          <t>أحمد سمير</t>
        </is>
      </c>
      <c r="H30" s="38" t="inlineStr">
        <is>
          <t>خسارة - مغلقة (Lost)</t>
        </is>
      </c>
      <c r="I30" s="39" t="n">
        <v>35000</v>
      </c>
      <c r="J30" s="40">
        <f>IFERROR(INDEX(Stage_Prob,MATCH(H30,Stage_Names,0)),"")</f>
        <v/>
      </c>
      <c r="K30" s="41">
        <f>IF(OR(H30="",I30=""),"",I30*J30)</f>
        <v/>
      </c>
      <c r="L30" s="42" t="n">
        <v>46214</v>
      </c>
      <c r="M30" s="42" t="n">
        <v>46243</v>
      </c>
      <c r="N30" s="36">
        <f>IFERROR(INDEX(Stage_Type,MATCH(H30,Stage_Names,0)),"")</f>
        <v/>
      </c>
      <c r="O30" s="36">
        <f>IF(OR(H30="",L30=""),"",IF(N30="مفتوح",TODAY()-L30,M30-L30))</f>
        <v/>
      </c>
      <c r="P30" s="36">
        <f>IF(L30="","",TEXT(L30,"YYYY-MM"))</f>
        <v/>
      </c>
      <c r="Q30" s="37" t="inlineStr"/>
    </row>
    <row r="31">
      <c r="A31" s="29">
        <f>IF(B31="","",ROW()-2)</f>
        <v/>
      </c>
      <c r="B31" s="30" t="inlineStr">
        <is>
          <t>إيمان منصور</t>
        </is>
      </c>
      <c r="C31" s="30" t="inlineStr">
        <is>
          <t>الفا ميديا</t>
        </is>
      </c>
      <c r="D31" s="30" t="inlineStr">
        <is>
          <t>إيمان@الفا.com</t>
        </is>
      </c>
      <c r="E31" s="30" t="inlineStr">
        <is>
          <t>01074606833</t>
        </is>
      </c>
      <c r="F31" s="31" t="inlineStr">
        <is>
          <t>إحالة عميل (Referral)</t>
        </is>
      </c>
      <c r="G31" s="31" t="inlineStr">
        <is>
          <t>نور الدين حسن</t>
        </is>
      </c>
      <c r="H31" s="31" t="inlineStr">
        <is>
          <t>فوز - مغلقة (Won)</t>
        </is>
      </c>
      <c r="I31" s="32" t="n">
        <v>22000</v>
      </c>
      <c r="J31" s="33">
        <f>IFERROR(INDEX(Stage_Prob,MATCH(H31,Stage_Names,0)),"")</f>
        <v/>
      </c>
      <c r="K31" s="34">
        <f>IF(OR(H31="",I31=""),"",I31*J31)</f>
        <v/>
      </c>
      <c r="L31" s="35" t="n">
        <v>46159</v>
      </c>
      <c r="M31" s="35" t="n">
        <v>46162</v>
      </c>
      <c r="N31" s="29">
        <f>IFERROR(INDEX(Stage_Type,MATCH(H31,Stage_Names,0)),"")</f>
        <v/>
      </c>
      <c r="O31" s="29">
        <f>IF(OR(H31="",L31=""),"",IF(N31="مفتوح",TODAY()-L31,M31-L31))</f>
        <v/>
      </c>
      <c r="P31" s="29">
        <f>IF(L31="","",TEXT(L31,"YYYY-MM"))</f>
        <v/>
      </c>
      <c r="Q31" s="30" t="inlineStr"/>
    </row>
    <row r="32">
      <c r="A32" s="36">
        <f>IF(B32="","",ROW()-2)</f>
        <v/>
      </c>
      <c r="B32" s="37" t="inlineStr">
        <is>
          <t>عصام منصور</t>
        </is>
      </c>
      <c r="C32" s="37" t="inlineStr">
        <is>
          <t>رؤية ديجيتال</t>
        </is>
      </c>
      <c r="D32" s="37" t="inlineStr">
        <is>
          <t>عصام@رؤية.com</t>
        </is>
      </c>
      <c r="E32" s="37" t="inlineStr">
        <is>
          <t>01045594951</t>
        </is>
      </c>
      <c r="F32" s="38" t="inlineStr">
        <is>
          <t>أخرى (Other)</t>
        </is>
      </c>
      <c r="G32" s="38" t="inlineStr">
        <is>
          <t>محمد فتحي</t>
        </is>
      </c>
      <c r="H32" s="38" t="inlineStr">
        <is>
          <t>مؤهل (Qualified)</t>
        </is>
      </c>
      <c r="I32" s="39" t="n">
        <v>150000</v>
      </c>
      <c r="J32" s="40">
        <f>IFERROR(INDEX(Stage_Prob,MATCH(H32,Stage_Names,0)),"")</f>
        <v/>
      </c>
      <c r="K32" s="41">
        <f>IF(OR(H32="",I32=""),"",I32*J32)</f>
        <v/>
      </c>
      <c r="L32" s="42" t="n">
        <v>46132</v>
      </c>
      <c r="M32" s="42" t="n">
        <v>46257</v>
      </c>
      <c r="N32" s="36">
        <f>IFERROR(INDEX(Stage_Type,MATCH(H32,Stage_Names,0)),"")</f>
        <v/>
      </c>
      <c r="O32" s="36">
        <f>IF(OR(H32="",L32=""),"",IF(N32="مفتوح",TODAY()-L32,M32-L32))</f>
        <v/>
      </c>
      <c r="P32" s="36">
        <f>IF(L32="","",TEXT(L32,"YYYY-MM"))</f>
        <v/>
      </c>
      <c r="Q32" s="37" t="inlineStr"/>
    </row>
    <row r="33">
      <c r="A33" s="29">
        <f>IF(B33="","",ROW()-2)</f>
        <v/>
      </c>
      <c r="B33" s="43" t="n"/>
      <c r="C33" s="43" t="n"/>
      <c r="D33" s="43" t="n"/>
      <c r="E33" s="43" t="n"/>
      <c r="F33" s="44" t="n"/>
      <c r="G33" s="44" t="n"/>
      <c r="H33" s="44" t="n"/>
      <c r="I33" s="44" t="n"/>
      <c r="J33" s="33">
        <f>IFERROR(INDEX(Stage_Prob,MATCH(H33,Stage_Names,0)),"")</f>
        <v/>
      </c>
      <c r="K33" s="34">
        <f>IF(OR(H33="",I33=""),"",I33*J33)</f>
        <v/>
      </c>
      <c r="L33" s="44" t="n"/>
      <c r="M33" s="44" t="n"/>
      <c r="N33" s="29">
        <f>IFERROR(INDEX(Stage_Type,MATCH(H33,Stage_Names,0)),"")</f>
        <v/>
      </c>
      <c r="O33" s="29">
        <f>IF(OR(H33="",L33=""),"",IF(N33="مفتوح",TODAY()-L33,M33-L33))</f>
        <v/>
      </c>
      <c r="P33" s="29">
        <f>IF(L33="","",TEXT(L33,"YYYY-MM"))</f>
        <v/>
      </c>
      <c r="Q33" s="43" t="n"/>
    </row>
    <row r="34">
      <c r="A34" s="36">
        <f>IF(B34="","",ROW()-2)</f>
        <v/>
      </c>
      <c r="B34" s="45" t="n"/>
      <c r="C34" s="45" t="n"/>
      <c r="D34" s="45" t="n"/>
      <c r="E34" s="45" t="n"/>
      <c r="F34" s="46" t="n"/>
      <c r="G34" s="46" t="n"/>
      <c r="H34" s="46" t="n"/>
      <c r="I34" s="46" t="n"/>
      <c r="J34" s="40">
        <f>IFERROR(INDEX(Stage_Prob,MATCH(H34,Stage_Names,0)),"")</f>
        <v/>
      </c>
      <c r="K34" s="41">
        <f>IF(OR(H34="",I34=""),"",I34*J34)</f>
        <v/>
      </c>
      <c r="L34" s="46" t="n"/>
      <c r="M34" s="46" t="n"/>
      <c r="N34" s="36">
        <f>IFERROR(INDEX(Stage_Type,MATCH(H34,Stage_Names,0)),"")</f>
        <v/>
      </c>
      <c r="O34" s="36">
        <f>IF(OR(H34="",L34=""),"",IF(N34="مفتوح",TODAY()-L34,M34-L34))</f>
        <v/>
      </c>
      <c r="P34" s="36">
        <f>IF(L34="","",TEXT(L34,"YYYY-MM"))</f>
        <v/>
      </c>
      <c r="Q34" s="45" t="n"/>
    </row>
    <row r="35">
      <c r="A35" s="29">
        <f>IF(B35="","",ROW()-2)</f>
        <v/>
      </c>
      <c r="B35" s="43" t="n"/>
      <c r="C35" s="43" t="n"/>
      <c r="D35" s="43" t="n"/>
      <c r="E35" s="43" t="n"/>
      <c r="F35" s="44" t="n"/>
      <c r="G35" s="44" t="n"/>
      <c r="H35" s="44" t="n"/>
      <c r="I35" s="44" t="n"/>
      <c r="J35" s="33">
        <f>IFERROR(INDEX(Stage_Prob,MATCH(H35,Stage_Names,0)),"")</f>
        <v/>
      </c>
      <c r="K35" s="34">
        <f>IF(OR(H35="",I35=""),"",I35*J35)</f>
        <v/>
      </c>
      <c r="L35" s="44" t="n"/>
      <c r="M35" s="44" t="n"/>
      <c r="N35" s="29">
        <f>IFERROR(INDEX(Stage_Type,MATCH(H35,Stage_Names,0)),"")</f>
        <v/>
      </c>
      <c r="O35" s="29">
        <f>IF(OR(H35="",L35=""),"",IF(N35="مفتوح",TODAY()-L35,M35-L35))</f>
        <v/>
      </c>
      <c r="P35" s="29">
        <f>IF(L35="","",TEXT(L35,"YYYY-MM"))</f>
        <v/>
      </c>
      <c r="Q35" s="43" t="n"/>
    </row>
    <row r="36">
      <c r="A36" s="36">
        <f>IF(B36="","",ROW()-2)</f>
        <v/>
      </c>
      <c r="B36" s="45" t="n"/>
      <c r="C36" s="45" t="n"/>
      <c r="D36" s="45" t="n"/>
      <c r="E36" s="45" t="n"/>
      <c r="F36" s="46" t="n"/>
      <c r="G36" s="46" t="n"/>
      <c r="H36" s="46" t="n"/>
      <c r="I36" s="46" t="n"/>
      <c r="J36" s="40">
        <f>IFERROR(INDEX(Stage_Prob,MATCH(H36,Stage_Names,0)),"")</f>
        <v/>
      </c>
      <c r="K36" s="41">
        <f>IF(OR(H36="",I36=""),"",I36*J36)</f>
        <v/>
      </c>
      <c r="L36" s="46" t="n"/>
      <c r="M36" s="46" t="n"/>
      <c r="N36" s="36">
        <f>IFERROR(INDEX(Stage_Type,MATCH(H36,Stage_Names,0)),"")</f>
        <v/>
      </c>
      <c r="O36" s="36">
        <f>IF(OR(H36="",L36=""),"",IF(N36="مفتوح",TODAY()-L36,M36-L36))</f>
        <v/>
      </c>
      <c r="P36" s="36">
        <f>IF(L36="","",TEXT(L36,"YYYY-MM"))</f>
        <v/>
      </c>
      <c r="Q36" s="45" t="n"/>
    </row>
    <row r="37">
      <c r="A37" s="29">
        <f>IF(B37="","",ROW()-2)</f>
        <v/>
      </c>
      <c r="B37" s="43" t="n"/>
      <c r="C37" s="43" t="n"/>
      <c r="D37" s="43" t="n"/>
      <c r="E37" s="43" t="n"/>
      <c r="F37" s="44" t="n"/>
      <c r="G37" s="44" t="n"/>
      <c r="H37" s="44" t="n"/>
      <c r="I37" s="44" t="n"/>
      <c r="J37" s="33">
        <f>IFERROR(INDEX(Stage_Prob,MATCH(H37,Stage_Names,0)),"")</f>
        <v/>
      </c>
      <c r="K37" s="34">
        <f>IF(OR(H37="",I37=""),"",I37*J37)</f>
        <v/>
      </c>
      <c r="L37" s="44" t="n"/>
      <c r="M37" s="44" t="n"/>
      <c r="N37" s="29">
        <f>IFERROR(INDEX(Stage_Type,MATCH(H37,Stage_Names,0)),"")</f>
        <v/>
      </c>
      <c r="O37" s="29">
        <f>IF(OR(H37="",L37=""),"",IF(N37="مفتوح",TODAY()-L37,M37-L37))</f>
        <v/>
      </c>
      <c r="P37" s="29">
        <f>IF(L37="","",TEXT(L37,"YYYY-MM"))</f>
        <v/>
      </c>
      <c r="Q37" s="43" t="n"/>
    </row>
    <row r="38">
      <c r="A38" s="36">
        <f>IF(B38="","",ROW()-2)</f>
        <v/>
      </c>
      <c r="B38" s="45" t="n"/>
      <c r="C38" s="45" t="n"/>
      <c r="D38" s="45" t="n"/>
      <c r="E38" s="45" t="n"/>
      <c r="F38" s="46" t="n"/>
      <c r="G38" s="46" t="n"/>
      <c r="H38" s="46" t="n"/>
      <c r="I38" s="46" t="n"/>
      <c r="J38" s="40">
        <f>IFERROR(INDEX(Stage_Prob,MATCH(H38,Stage_Names,0)),"")</f>
        <v/>
      </c>
      <c r="K38" s="41">
        <f>IF(OR(H38="",I38=""),"",I38*J38)</f>
        <v/>
      </c>
      <c r="L38" s="46" t="n"/>
      <c r="M38" s="46" t="n"/>
      <c r="N38" s="36">
        <f>IFERROR(INDEX(Stage_Type,MATCH(H38,Stage_Names,0)),"")</f>
        <v/>
      </c>
      <c r="O38" s="36">
        <f>IF(OR(H38="",L38=""),"",IF(N38="مفتوح",TODAY()-L38,M38-L38))</f>
        <v/>
      </c>
      <c r="P38" s="36">
        <f>IF(L38="","",TEXT(L38,"YYYY-MM"))</f>
        <v/>
      </c>
      <c r="Q38" s="45" t="n"/>
    </row>
    <row r="39">
      <c r="A39" s="29">
        <f>IF(B39="","",ROW()-2)</f>
        <v/>
      </c>
      <c r="B39" s="43" t="n"/>
      <c r="C39" s="43" t="n"/>
      <c r="D39" s="43" t="n"/>
      <c r="E39" s="43" t="n"/>
      <c r="F39" s="44" t="n"/>
      <c r="G39" s="44" t="n"/>
      <c r="H39" s="44" t="n"/>
      <c r="I39" s="44" t="n"/>
      <c r="J39" s="33">
        <f>IFERROR(INDEX(Stage_Prob,MATCH(H39,Stage_Names,0)),"")</f>
        <v/>
      </c>
      <c r="K39" s="34">
        <f>IF(OR(H39="",I39=""),"",I39*J39)</f>
        <v/>
      </c>
      <c r="L39" s="44" t="n"/>
      <c r="M39" s="44" t="n"/>
      <c r="N39" s="29">
        <f>IFERROR(INDEX(Stage_Type,MATCH(H39,Stage_Names,0)),"")</f>
        <v/>
      </c>
      <c r="O39" s="29">
        <f>IF(OR(H39="",L39=""),"",IF(N39="مفتوح",TODAY()-L39,M39-L39))</f>
        <v/>
      </c>
      <c r="P39" s="29">
        <f>IF(L39="","",TEXT(L39,"YYYY-MM"))</f>
        <v/>
      </c>
      <c r="Q39" s="43" t="n"/>
    </row>
    <row r="40">
      <c r="A40" s="36">
        <f>IF(B40="","",ROW()-2)</f>
        <v/>
      </c>
      <c r="B40" s="45" t="n"/>
      <c r="C40" s="45" t="n"/>
      <c r="D40" s="45" t="n"/>
      <c r="E40" s="45" t="n"/>
      <c r="F40" s="46" t="n"/>
      <c r="G40" s="46" t="n"/>
      <c r="H40" s="46" t="n"/>
      <c r="I40" s="46" t="n"/>
      <c r="J40" s="40">
        <f>IFERROR(INDEX(Stage_Prob,MATCH(H40,Stage_Names,0)),"")</f>
        <v/>
      </c>
      <c r="K40" s="41">
        <f>IF(OR(H40="",I40=""),"",I40*J40)</f>
        <v/>
      </c>
      <c r="L40" s="46" t="n"/>
      <c r="M40" s="46" t="n"/>
      <c r="N40" s="36">
        <f>IFERROR(INDEX(Stage_Type,MATCH(H40,Stage_Names,0)),"")</f>
        <v/>
      </c>
      <c r="O40" s="36">
        <f>IF(OR(H40="",L40=""),"",IF(N40="مفتوح",TODAY()-L40,M40-L40))</f>
        <v/>
      </c>
      <c r="P40" s="36">
        <f>IF(L40="","",TEXT(L40,"YYYY-MM"))</f>
        <v/>
      </c>
      <c r="Q40" s="45" t="n"/>
    </row>
    <row r="41">
      <c r="A41" s="29">
        <f>IF(B41="","",ROW()-2)</f>
        <v/>
      </c>
      <c r="B41" s="43" t="n"/>
      <c r="C41" s="43" t="n"/>
      <c r="D41" s="43" t="n"/>
      <c r="E41" s="43" t="n"/>
      <c r="F41" s="44" t="n"/>
      <c r="G41" s="44" t="n"/>
      <c r="H41" s="44" t="n"/>
      <c r="I41" s="44" t="n"/>
      <c r="J41" s="33">
        <f>IFERROR(INDEX(Stage_Prob,MATCH(H41,Stage_Names,0)),"")</f>
        <v/>
      </c>
      <c r="K41" s="34">
        <f>IF(OR(H41="",I41=""),"",I41*J41)</f>
        <v/>
      </c>
      <c r="L41" s="44" t="n"/>
      <c r="M41" s="44" t="n"/>
      <c r="N41" s="29">
        <f>IFERROR(INDEX(Stage_Type,MATCH(H41,Stage_Names,0)),"")</f>
        <v/>
      </c>
      <c r="O41" s="29">
        <f>IF(OR(H41="",L41=""),"",IF(N41="مفتوح",TODAY()-L41,M41-L41))</f>
        <v/>
      </c>
      <c r="P41" s="29">
        <f>IF(L41="","",TEXT(L41,"YYYY-MM"))</f>
        <v/>
      </c>
      <c r="Q41" s="43" t="n"/>
    </row>
    <row r="42">
      <c r="A42" s="36">
        <f>IF(B42="","",ROW()-2)</f>
        <v/>
      </c>
      <c r="B42" s="45" t="n"/>
      <c r="C42" s="45" t="n"/>
      <c r="D42" s="45" t="n"/>
      <c r="E42" s="45" t="n"/>
      <c r="F42" s="46" t="n"/>
      <c r="G42" s="46" t="n"/>
      <c r="H42" s="46" t="n"/>
      <c r="I42" s="46" t="n"/>
      <c r="J42" s="40">
        <f>IFERROR(INDEX(Stage_Prob,MATCH(H42,Stage_Names,0)),"")</f>
        <v/>
      </c>
      <c r="K42" s="41">
        <f>IF(OR(H42="",I42=""),"",I42*J42)</f>
        <v/>
      </c>
      <c r="L42" s="46" t="n"/>
      <c r="M42" s="46" t="n"/>
      <c r="N42" s="36">
        <f>IFERROR(INDEX(Stage_Type,MATCH(H42,Stage_Names,0)),"")</f>
        <v/>
      </c>
      <c r="O42" s="36">
        <f>IF(OR(H42="",L42=""),"",IF(N42="مفتوح",TODAY()-L42,M42-L42))</f>
        <v/>
      </c>
      <c r="P42" s="36">
        <f>IF(L42="","",TEXT(L42,"YYYY-MM"))</f>
        <v/>
      </c>
      <c r="Q42" s="45" t="n"/>
    </row>
    <row r="43">
      <c r="A43" s="29">
        <f>IF(B43="","",ROW()-2)</f>
        <v/>
      </c>
      <c r="B43" s="43" t="n"/>
      <c r="C43" s="43" t="n"/>
      <c r="D43" s="43" t="n"/>
      <c r="E43" s="43" t="n"/>
      <c r="F43" s="44" t="n"/>
      <c r="G43" s="44" t="n"/>
      <c r="H43" s="44" t="n"/>
      <c r="I43" s="44" t="n"/>
      <c r="J43" s="33">
        <f>IFERROR(INDEX(Stage_Prob,MATCH(H43,Stage_Names,0)),"")</f>
        <v/>
      </c>
      <c r="K43" s="34">
        <f>IF(OR(H43="",I43=""),"",I43*J43)</f>
        <v/>
      </c>
      <c r="L43" s="44" t="n"/>
      <c r="M43" s="44" t="n"/>
      <c r="N43" s="29">
        <f>IFERROR(INDEX(Stage_Type,MATCH(H43,Stage_Names,0)),"")</f>
        <v/>
      </c>
      <c r="O43" s="29">
        <f>IF(OR(H43="",L43=""),"",IF(N43="مفتوح",TODAY()-L43,M43-L43))</f>
        <v/>
      </c>
      <c r="P43" s="29">
        <f>IF(L43="","",TEXT(L43,"YYYY-MM"))</f>
        <v/>
      </c>
      <c r="Q43" s="43" t="n"/>
    </row>
    <row r="44">
      <c r="A44" s="36">
        <f>IF(B44="","",ROW()-2)</f>
        <v/>
      </c>
      <c r="B44" s="45" t="n"/>
      <c r="C44" s="45" t="n"/>
      <c r="D44" s="45" t="n"/>
      <c r="E44" s="45" t="n"/>
      <c r="F44" s="46" t="n"/>
      <c r="G44" s="46" t="n"/>
      <c r="H44" s="46" t="n"/>
      <c r="I44" s="46" t="n"/>
      <c r="J44" s="40">
        <f>IFERROR(INDEX(Stage_Prob,MATCH(H44,Stage_Names,0)),"")</f>
        <v/>
      </c>
      <c r="K44" s="41">
        <f>IF(OR(H44="",I44=""),"",I44*J44)</f>
        <v/>
      </c>
      <c r="L44" s="46" t="n"/>
      <c r="M44" s="46" t="n"/>
      <c r="N44" s="36">
        <f>IFERROR(INDEX(Stage_Type,MATCH(H44,Stage_Names,0)),"")</f>
        <v/>
      </c>
      <c r="O44" s="36">
        <f>IF(OR(H44="",L44=""),"",IF(N44="مفتوح",TODAY()-L44,M44-L44))</f>
        <v/>
      </c>
      <c r="P44" s="36">
        <f>IF(L44="","",TEXT(L44,"YYYY-MM"))</f>
        <v/>
      </c>
      <c r="Q44" s="45" t="n"/>
    </row>
    <row r="45">
      <c r="A45" s="29">
        <f>IF(B45="","",ROW()-2)</f>
        <v/>
      </c>
      <c r="B45" s="43" t="n"/>
      <c r="C45" s="43" t="n"/>
      <c r="D45" s="43" t="n"/>
      <c r="E45" s="43" t="n"/>
      <c r="F45" s="44" t="n"/>
      <c r="G45" s="44" t="n"/>
      <c r="H45" s="44" t="n"/>
      <c r="I45" s="44" t="n"/>
      <c r="J45" s="33">
        <f>IFERROR(INDEX(Stage_Prob,MATCH(H45,Stage_Names,0)),"")</f>
        <v/>
      </c>
      <c r="K45" s="34">
        <f>IF(OR(H45="",I45=""),"",I45*J45)</f>
        <v/>
      </c>
      <c r="L45" s="44" t="n"/>
      <c r="M45" s="44" t="n"/>
      <c r="N45" s="29">
        <f>IFERROR(INDEX(Stage_Type,MATCH(H45,Stage_Names,0)),"")</f>
        <v/>
      </c>
      <c r="O45" s="29">
        <f>IF(OR(H45="",L45=""),"",IF(N45="مفتوح",TODAY()-L45,M45-L45))</f>
        <v/>
      </c>
      <c r="P45" s="29">
        <f>IF(L45="","",TEXT(L45,"YYYY-MM"))</f>
        <v/>
      </c>
      <c r="Q45" s="43" t="n"/>
    </row>
    <row r="46">
      <c r="A46" s="36">
        <f>IF(B46="","",ROW()-2)</f>
        <v/>
      </c>
      <c r="B46" s="45" t="n"/>
      <c r="C46" s="45" t="n"/>
      <c r="D46" s="45" t="n"/>
      <c r="E46" s="45" t="n"/>
      <c r="F46" s="46" t="n"/>
      <c r="G46" s="46" t="n"/>
      <c r="H46" s="46" t="n"/>
      <c r="I46" s="46" t="n"/>
      <c r="J46" s="40">
        <f>IFERROR(INDEX(Stage_Prob,MATCH(H46,Stage_Names,0)),"")</f>
        <v/>
      </c>
      <c r="K46" s="41">
        <f>IF(OR(H46="",I46=""),"",I46*J46)</f>
        <v/>
      </c>
      <c r="L46" s="46" t="n"/>
      <c r="M46" s="46" t="n"/>
      <c r="N46" s="36">
        <f>IFERROR(INDEX(Stage_Type,MATCH(H46,Stage_Names,0)),"")</f>
        <v/>
      </c>
      <c r="O46" s="36">
        <f>IF(OR(H46="",L46=""),"",IF(N46="مفتوح",TODAY()-L46,M46-L46))</f>
        <v/>
      </c>
      <c r="P46" s="36">
        <f>IF(L46="","",TEXT(L46,"YYYY-MM"))</f>
        <v/>
      </c>
      <c r="Q46" s="45" t="n"/>
    </row>
    <row r="47">
      <c r="A47" s="29">
        <f>IF(B47="","",ROW()-2)</f>
        <v/>
      </c>
      <c r="B47" s="43" t="n"/>
      <c r="C47" s="43" t="n"/>
      <c r="D47" s="43" t="n"/>
      <c r="E47" s="43" t="n"/>
      <c r="F47" s="44" t="n"/>
      <c r="G47" s="44" t="n"/>
      <c r="H47" s="44" t="n"/>
      <c r="I47" s="44" t="n"/>
      <c r="J47" s="33">
        <f>IFERROR(INDEX(Stage_Prob,MATCH(H47,Stage_Names,0)),"")</f>
        <v/>
      </c>
      <c r="K47" s="34">
        <f>IF(OR(H47="",I47=""),"",I47*J47)</f>
        <v/>
      </c>
      <c r="L47" s="44" t="n"/>
      <c r="M47" s="44" t="n"/>
      <c r="N47" s="29">
        <f>IFERROR(INDEX(Stage_Type,MATCH(H47,Stage_Names,0)),"")</f>
        <v/>
      </c>
      <c r="O47" s="29">
        <f>IF(OR(H47="",L47=""),"",IF(N47="مفتوح",TODAY()-L47,M47-L47))</f>
        <v/>
      </c>
      <c r="P47" s="29">
        <f>IF(L47="","",TEXT(L47,"YYYY-MM"))</f>
        <v/>
      </c>
      <c r="Q47" s="43" t="n"/>
    </row>
    <row r="48">
      <c r="A48" s="36">
        <f>IF(B48="","",ROW()-2)</f>
        <v/>
      </c>
      <c r="B48" s="45" t="n"/>
      <c r="C48" s="45" t="n"/>
      <c r="D48" s="45" t="n"/>
      <c r="E48" s="45" t="n"/>
      <c r="F48" s="46" t="n"/>
      <c r="G48" s="46" t="n"/>
      <c r="H48" s="46" t="n"/>
      <c r="I48" s="46" t="n"/>
      <c r="J48" s="40">
        <f>IFERROR(INDEX(Stage_Prob,MATCH(H48,Stage_Names,0)),"")</f>
        <v/>
      </c>
      <c r="K48" s="41">
        <f>IF(OR(H48="",I48=""),"",I48*J48)</f>
        <v/>
      </c>
      <c r="L48" s="46" t="n"/>
      <c r="M48" s="46" t="n"/>
      <c r="N48" s="36">
        <f>IFERROR(INDEX(Stage_Type,MATCH(H48,Stage_Names,0)),"")</f>
        <v/>
      </c>
      <c r="O48" s="36">
        <f>IF(OR(H48="",L48=""),"",IF(N48="مفتوح",TODAY()-L48,M48-L48))</f>
        <v/>
      </c>
      <c r="P48" s="36">
        <f>IF(L48="","",TEXT(L48,"YYYY-MM"))</f>
        <v/>
      </c>
      <c r="Q48" s="45" t="n"/>
    </row>
    <row r="49">
      <c r="A49" s="29">
        <f>IF(B49="","",ROW()-2)</f>
        <v/>
      </c>
      <c r="B49" s="43" t="n"/>
      <c r="C49" s="43" t="n"/>
      <c r="D49" s="43" t="n"/>
      <c r="E49" s="43" t="n"/>
      <c r="F49" s="44" t="n"/>
      <c r="G49" s="44" t="n"/>
      <c r="H49" s="44" t="n"/>
      <c r="I49" s="44" t="n"/>
      <c r="J49" s="33">
        <f>IFERROR(INDEX(Stage_Prob,MATCH(H49,Stage_Names,0)),"")</f>
        <v/>
      </c>
      <c r="K49" s="34">
        <f>IF(OR(H49="",I49=""),"",I49*J49)</f>
        <v/>
      </c>
      <c r="L49" s="44" t="n"/>
      <c r="M49" s="44" t="n"/>
      <c r="N49" s="29">
        <f>IFERROR(INDEX(Stage_Type,MATCH(H49,Stage_Names,0)),"")</f>
        <v/>
      </c>
      <c r="O49" s="29">
        <f>IF(OR(H49="",L49=""),"",IF(N49="مفتوح",TODAY()-L49,M49-L49))</f>
        <v/>
      </c>
      <c r="P49" s="29">
        <f>IF(L49="","",TEXT(L49,"YYYY-MM"))</f>
        <v/>
      </c>
      <c r="Q49" s="43" t="n"/>
    </row>
    <row r="50">
      <c r="A50" s="36">
        <f>IF(B50="","",ROW()-2)</f>
        <v/>
      </c>
      <c r="B50" s="45" t="n"/>
      <c r="C50" s="45" t="n"/>
      <c r="D50" s="45" t="n"/>
      <c r="E50" s="45" t="n"/>
      <c r="F50" s="46" t="n"/>
      <c r="G50" s="46" t="n"/>
      <c r="H50" s="46" t="n"/>
      <c r="I50" s="46" t="n"/>
      <c r="J50" s="40">
        <f>IFERROR(INDEX(Stage_Prob,MATCH(H50,Stage_Names,0)),"")</f>
        <v/>
      </c>
      <c r="K50" s="41">
        <f>IF(OR(H50="",I50=""),"",I50*J50)</f>
        <v/>
      </c>
      <c r="L50" s="46" t="n"/>
      <c r="M50" s="46" t="n"/>
      <c r="N50" s="36">
        <f>IFERROR(INDEX(Stage_Type,MATCH(H50,Stage_Names,0)),"")</f>
        <v/>
      </c>
      <c r="O50" s="36">
        <f>IF(OR(H50="",L50=""),"",IF(N50="مفتوح",TODAY()-L50,M50-L50))</f>
        <v/>
      </c>
      <c r="P50" s="36">
        <f>IF(L50="","",TEXT(L50,"YYYY-MM"))</f>
        <v/>
      </c>
      <c r="Q50" s="45" t="n"/>
    </row>
    <row r="51">
      <c r="A51" s="29">
        <f>IF(B51="","",ROW()-2)</f>
        <v/>
      </c>
      <c r="B51" s="43" t="n"/>
      <c r="C51" s="43" t="n"/>
      <c r="D51" s="43" t="n"/>
      <c r="E51" s="43" t="n"/>
      <c r="F51" s="44" t="n"/>
      <c r="G51" s="44" t="n"/>
      <c r="H51" s="44" t="n"/>
      <c r="I51" s="44" t="n"/>
      <c r="J51" s="33">
        <f>IFERROR(INDEX(Stage_Prob,MATCH(H51,Stage_Names,0)),"")</f>
        <v/>
      </c>
      <c r="K51" s="34">
        <f>IF(OR(H51="",I51=""),"",I51*J51)</f>
        <v/>
      </c>
      <c r="L51" s="44" t="n"/>
      <c r="M51" s="44" t="n"/>
      <c r="N51" s="29">
        <f>IFERROR(INDEX(Stage_Type,MATCH(H51,Stage_Names,0)),"")</f>
        <v/>
      </c>
      <c r="O51" s="29">
        <f>IF(OR(H51="",L51=""),"",IF(N51="مفتوح",TODAY()-L51,M51-L51))</f>
        <v/>
      </c>
      <c r="P51" s="29">
        <f>IF(L51="","",TEXT(L51,"YYYY-MM"))</f>
        <v/>
      </c>
      <c r="Q51" s="43" t="n"/>
    </row>
    <row r="52">
      <c r="A52" s="36">
        <f>IF(B52="","",ROW()-2)</f>
        <v/>
      </c>
      <c r="B52" s="45" t="n"/>
      <c r="C52" s="45" t="n"/>
      <c r="D52" s="45" t="n"/>
      <c r="E52" s="45" t="n"/>
      <c r="F52" s="46" t="n"/>
      <c r="G52" s="46" t="n"/>
      <c r="H52" s="46" t="n"/>
      <c r="I52" s="46" t="n"/>
      <c r="J52" s="40">
        <f>IFERROR(INDEX(Stage_Prob,MATCH(H52,Stage_Names,0)),"")</f>
        <v/>
      </c>
      <c r="K52" s="41">
        <f>IF(OR(H52="",I52=""),"",I52*J52)</f>
        <v/>
      </c>
      <c r="L52" s="46" t="n"/>
      <c r="M52" s="46" t="n"/>
      <c r="N52" s="36">
        <f>IFERROR(INDEX(Stage_Type,MATCH(H52,Stage_Names,0)),"")</f>
        <v/>
      </c>
      <c r="O52" s="36">
        <f>IF(OR(H52="",L52=""),"",IF(N52="مفتوح",TODAY()-L52,M52-L52))</f>
        <v/>
      </c>
      <c r="P52" s="36">
        <f>IF(L52="","",TEXT(L52,"YYYY-MM"))</f>
        <v/>
      </c>
      <c r="Q52" s="45" t="n"/>
    </row>
    <row r="53">
      <c r="A53" s="29">
        <f>IF(B53="","",ROW()-2)</f>
        <v/>
      </c>
      <c r="B53" s="43" t="n"/>
      <c r="C53" s="43" t="n"/>
      <c r="D53" s="43" t="n"/>
      <c r="E53" s="43" t="n"/>
      <c r="F53" s="44" t="n"/>
      <c r="G53" s="44" t="n"/>
      <c r="H53" s="44" t="n"/>
      <c r="I53" s="44" t="n"/>
      <c r="J53" s="33">
        <f>IFERROR(INDEX(Stage_Prob,MATCH(H53,Stage_Names,0)),"")</f>
        <v/>
      </c>
      <c r="K53" s="34">
        <f>IF(OR(H53="",I53=""),"",I53*J53)</f>
        <v/>
      </c>
      <c r="L53" s="44" t="n"/>
      <c r="M53" s="44" t="n"/>
      <c r="N53" s="29">
        <f>IFERROR(INDEX(Stage_Type,MATCH(H53,Stage_Names,0)),"")</f>
        <v/>
      </c>
      <c r="O53" s="29">
        <f>IF(OR(H53="",L53=""),"",IF(N53="مفتوح",TODAY()-L53,M53-L53))</f>
        <v/>
      </c>
      <c r="P53" s="29">
        <f>IF(L53="","",TEXT(L53,"YYYY-MM"))</f>
        <v/>
      </c>
      <c r="Q53" s="43" t="n"/>
    </row>
    <row r="54">
      <c r="A54" s="36">
        <f>IF(B54="","",ROW()-2)</f>
        <v/>
      </c>
      <c r="B54" s="45" t="n"/>
      <c r="C54" s="45" t="n"/>
      <c r="D54" s="45" t="n"/>
      <c r="E54" s="45" t="n"/>
      <c r="F54" s="46" t="n"/>
      <c r="G54" s="46" t="n"/>
      <c r="H54" s="46" t="n"/>
      <c r="I54" s="46" t="n"/>
      <c r="J54" s="40">
        <f>IFERROR(INDEX(Stage_Prob,MATCH(H54,Stage_Names,0)),"")</f>
        <v/>
      </c>
      <c r="K54" s="41">
        <f>IF(OR(H54="",I54=""),"",I54*J54)</f>
        <v/>
      </c>
      <c r="L54" s="46" t="n"/>
      <c r="M54" s="46" t="n"/>
      <c r="N54" s="36">
        <f>IFERROR(INDEX(Stage_Type,MATCH(H54,Stage_Names,0)),"")</f>
        <v/>
      </c>
      <c r="O54" s="36">
        <f>IF(OR(H54="",L54=""),"",IF(N54="مفتوح",TODAY()-L54,M54-L54))</f>
        <v/>
      </c>
      <c r="P54" s="36">
        <f>IF(L54="","",TEXT(L54,"YYYY-MM"))</f>
        <v/>
      </c>
      <c r="Q54" s="45" t="n"/>
    </row>
    <row r="55">
      <c r="A55" s="29">
        <f>IF(B55="","",ROW()-2)</f>
        <v/>
      </c>
      <c r="B55" s="43" t="n"/>
      <c r="C55" s="43" t="n"/>
      <c r="D55" s="43" t="n"/>
      <c r="E55" s="43" t="n"/>
      <c r="F55" s="44" t="n"/>
      <c r="G55" s="44" t="n"/>
      <c r="H55" s="44" t="n"/>
      <c r="I55" s="44" t="n"/>
      <c r="J55" s="33">
        <f>IFERROR(INDEX(Stage_Prob,MATCH(H55,Stage_Names,0)),"")</f>
        <v/>
      </c>
      <c r="K55" s="34">
        <f>IF(OR(H55="",I55=""),"",I55*J55)</f>
        <v/>
      </c>
      <c r="L55" s="44" t="n"/>
      <c r="M55" s="44" t="n"/>
      <c r="N55" s="29">
        <f>IFERROR(INDEX(Stage_Type,MATCH(H55,Stage_Names,0)),"")</f>
        <v/>
      </c>
      <c r="O55" s="29">
        <f>IF(OR(H55="",L55=""),"",IF(N55="مفتوح",TODAY()-L55,M55-L55))</f>
        <v/>
      </c>
      <c r="P55" s="29">
        <f>IF(L55="","",TEXT(L55,"YYYY-MM"))</f>
        <v/>
      </c>
      <c r="Q55" s="43" t="n"/>
    </row>
    <row r="56">
      <c r="A56" s="36">
        <f>IF(B56="","",ROW()-2)</f>
        <v/>
      </c>
      <c r="B56" s="45" t="n"/>
      <c r="C56" s="45" t="n"/>
      <c r="D56" s="45" t="n"/>
      <c r="E56" s="45" t="n"/>
      <c r="F56" s="46" t="n"/>
      <c r="G56" s="46" t="n"/>
      <c r="H56" s="46" t="n"/>
      <c r="I56" s="46" t="n"/>
      <c r="J56" s="40">
        <f>IFERROR(INDEX(Stage_Prob,MATCH(H56,Stage_Names,0)),"")</f>
        <v/>
      </c>
      <c r="K56" s="41">
        <f>IF(OR(H56="",I56=""),"",I56*J56)</f>
        <v/>
      </c>
      <c r="L56" s="46" t="n"/>
      <c r="M56" s="46" t="n"/>
      <c r="N56" s="36">
        <f>IFERROR(INDEX(Stage_Type,MATCH(H56,Stage_Names,0)),"")</f>
        <v/>
      </c>
      <c r="O56" s="36">
        <f>IF(OR(H56="",L56=""),"",IF(N56="مفتوح",TODAY()-L56,M56-L56))</f>
        <v/>
      </c>
      <c r="P56" s="36">
        <f>IF(L56="","",TEXT(L56,"YYYY-MM"))</f>
        <v/>
      </c>
      <c r="Q56" s="45" t="n"/>
    </row>
    <row r="57">
      <c r="A57" s="29">
        <f>IF(B57="","",ROW()-2)</f>
        <v/>
      </c>
      <c r="B57" s="43" t="n"/>
      <c r="C57" s="43" t="n"/>
      <c r="D57" s="43" t="n"/>
      <c r="E57" s="43" t="n"/>
      <c r="F57" s="44" t="n"/>
      <c r="G57" s="44" t="n"/>
      <c r="H57" s="44" t="n"/>
      <c r="I57" s="44" t="n"/>
      <c r="J57" s="33">
        <f>IFERROR(INDEX(Stage_Prob,MATCH(H57,Stage_Names,0)),"")</f>
        <v/>
      </c>
      <c r="K57" s="34">
        <f>IF(OR(H57="",I57=""),"",I57*J57)</f>
        <v/>
      </c>
      <c r="L57" s="44" t="n"/>
      <c r="M57" s="44" t="n"/>
      <c r="N57" s="29">
        <f>IFERROR(INDEX(Stage_Type,MATCH(H57,Stage_Names,0)),"")</f>
        <v/>
      </c>
      <c r="O57" s="29">
        <f>IF(OR(H57="",L57=""),"",IF(N57="مفتوح",TODAY()-L57,M57-L57))</f>
        <v/>
      </c>
      <c r="P57" s="29">
        <f>IF(L57="","",TEXT(L57,"YYYY-MM"))</f>
        <v/>
      </c>
      <c r="Q57" s="43" t="n"/>
    </row>
    <row r="58">
      <c r="A58" s="36">
        <f>IF(B58="","",ROW()-2)</f>
        <v/>
      </c>
      <c r="B58" s="45" t="n"/>
      <c r="C58" s="45" t="n"/>
      <c r="D58" s="45" t="n"/>
      <c r="E58" s="45" t="n"/>
      <c r="F58" s="46" t="n"/>
      <c r="G58" s="46" t="n"/>
      <c r="H58" s="46" t="n"/>
      <c r="I58" s="46" t="n"/>
      <c r="J58" s="40">
        <f>IFERROR(INDEX(Stage_Prob,MATCH(H58,Stage_Names,0)),"")</f>
        <v/>
      </c>
      <c r="K58" s="41">
        <f>IF(OR(H58="",I58=""),"",I58*J58)</f>
        <v/>
      </c>
      <c r="L58" s="46" t="n"/>
      <c r="M58" s="46" t="n"/>
      <c r="N58" s="36">
        <f>IFERROR(INDEX(Stage_Type,MATCH(H58,Stage_Names,0)),"")</f>
        <v/>
      </c>
      <c r="O58" s="36">
        <f>IF(OR(H58="",L58=""),"",IF(N58="مفتوح",TODAY()-L58,M58-L58))</f>
        <v/>
      </c>
      <c r="P58" s="36">
        <f>IF(L58="","",TEXT(L58,"YYYY-MM"))</f>
        <v/>
      </c>
      <c r="Q58" s="45" t="n"/>
    </row>
    <row r="59">
      <c r="A59" s="29">
        <f>IF(B59="","",ROW()-2)</f>
        <v/>
      </c>
      <c r="B59" s="43" t="n"/>
      <c r="C59" s="43" t="n"/>
      <c r="D59" s="43" t="n"/>
      <c r="E59" s="43" t="n"/>
      <c r="F59" s="44" t="n"/>
      <c r="G59" s="44" t="n"/>
      <c r="H59" s="44" t="n"/>
      <c r="I59" s="44" t="n"/>
      <c r="J59" s="33">
        <f>IFERROR(INDEX(Stage_Prob,MATCH(H59,Stage_Names,0)),"")</f>
        <v/>
      </c>
      <c r="K59" s="34">
        <f>IF(OR(H59="",I59=""),"",I59*J59)</f>
        <v/>
      </c>
      <c r="L59" s="44" t="n"/>
      <c r="M59" s="44" t="n"/>
      <c r="N59" s="29">
        <f>IFERROR(INDEX(Stage_Type,MATCH(H59,Stage_Names,0)),"")</f>
        <v/>
      </c>
      <c r="O59" s="29">
        <f>IF(OR(H59="",L59=""),"",IF(N59="مفتوح",TODAY()-L59,M59-L59))</f>
        <v/>
      </c>
      <c r="P59" s="29">
        <f>IF(L59="","",TEXT(L59,"YYYY-MM"))</f>
        <v/>
      </c>
      <c r="Q59" s="43" t="n"/>
    </row>
    <row r="60">
      <c r="A60" s="36">
        <f>IF(B60="","",ROW()-2)</f>
        <v/>
      </c>
      <c r="B60" s="45" t="n"/>
      <c r="C60" s="45" t="n"/>
      <c r="D60" s="45" t="n"/>
      <c r="E60" s="45" t="n"/>
      <c r="F60" s="46" t="n"/>
      <c r="G60" s="46" t="n"/>
      <c r="H60" s="46" t="n"/>
      <c r="I60" s="46" t="n"/>
      <c r="J60" s="40">
        <f>IFERROR(INDEX(Stage_Prob,MATCH(H60,Stage_Names,0)),"")</f>
        <v/>
      </c>
      <c r="K60" s="41">
        <f>IF(OR(H60="",I60=""),"",I60*J60)</f>
        <v/>
      </c>
      <c r="L60" s="46" t="n"/>
      <c r="M60" s="46" t="n"/>
      <c r="N60" s="36">
        <f>IFERROR(INDEX(Stage_Type,MATCH(H60,Stage_Names,0)),"")</f>
        <v/>
      </c>
      <c r="O60" s="36">
        <f>IF(OR(H60="",L60=""),"",IF(N60="مفتوح",TODAY()-L60,M60-L60))</f>
        <v/>
      </c>
      <c r="P60" s="36">
        <f>IF(L60="","",TEXT(L60,"YYYY-MM"))</f>
        <v/>
      </c>
      <c r="Q60" s="45" t="n"/>
    </row>
    <row r="61">
      <c r="A61" s="29">
        <f>IF(B61="","",ROW()-2)</f>
        <v/>
      </c>
      <c r="B61" s="43" t="n"/>
      <c r="C61" s="43" t="n"/>
      <c r="D61" s="43" t="n"/>
      <c r="E61" s="43" t="n"/>
      <c r="F61" s="44" t="n"/>
      <c r="G61" s="44" t="n"/>
      <c r="H61" s="44" t="n"/>
      <c r="I61" s="44" t="n"/>
      <c r="J61" s="33">
        <f>IFERROR(INDEX(Stage_Prob,MATCH(H61,Stage_Names,0)),"")</f>
        <v/>
      </c>
      <c r="K61" s="34">
        <f>IF(OR(H61="",I61=""),"",I61*J61)</f>
        <v/>
      </c>
      <c r="L61" s="44" t="n"/>
      <c r="M61" s="44" t="n"/>
      <c r="N61" s="29">
        <f>IFERROR(INDEX(Stage_Type,MATCH(H61,Stage_Names,0)),"")</f>
        <v/>
      </c>
      <c r="O61" s="29">
        <f>IF(OR(H61="",L61=""),"",IF(N61="مفتوح",TODAY()-L61,M61-L61))</f>
        <v/>
      </c>
      <c r="P61" s="29">
        <f>IF(L61="","",TEXT(L61,"YYYY-MM"))</f>
        <v/>
      </c>
      <c r="Q61" s="43" t="n"/>
    </row>
    <row r="62">
      <c r="A62" s="36">
        <f>IF(B62="","",ROW()-2)</f>
        <v/>
      </c>
      <c r="B62" s="45" t="n"/>
      <c r="C62" s="45" t="n"/>
      <c r="D62" s="45" t="n"/>
      <c r="E62" s="45" t="n"/>
      <c r="F62" s="46" t="n"/>
      <c r="G62" s="46" t="n"/>
      <c r="H62" s="46" t="n"/>
      <c r="I62" s="46" t="n"/>
      <c r="J62" s="40">
        <f>IFERROR(INDEX(Stage_Prob,MATCH(H62,Stage_Names,0)),"")</f>
        <v/>
      </c>
      <c r="K62" s="41">
        <f>IF(OR(H62="",I62=""),"",I62*J62)</f>
        <v/>
      </c>
      <c r="L62" s="46" t="n"/>
      <c r="M62" s="46" t="n"/>
      <c r="N62" s="36">
        <f>IFERROR(INDEX(Stage_Type,MATCH(H62,Stage_Names,0)),"")</f>
        <v/>
      </c>
      <c r="O62" s="36">
        <f>IF(OR(H62="",L62=""),"",IF(N62="مفتوح",TODAY()-L62,M62-L62))</f>
        <v/>
      </c>
      <c r="P62" s="36">
        <f>IF(L62="","",TEXT(L62,"YYYY-MM"))</f>
        <v/>
      </c>
      <c r="Q62" s="45" t="n"/>
    </row>
    <row r="63">
      <c r="A63" s="29">
        <f>IF(B63="","",ROW()-2)</f>
        <v/>
      </c>
      <c r="B63" s="43" t="n"/>
      <c r="C63" s="43" t="n"/>
      <c r="D63" s="43" t="n"/>
      <c r="E63" s="43" t="n"/>
      <c r="F63" s="44" t="n"/>
      <c r="G63" s="44" t="n"/>
      <c r="H63" s="44" t="n"/>
      <c r="I63" s="44" t="n"/>
      <c r="J63" s="33">
        <f>IFERROR(INDEX(Stage_Prob,MATCH(H63,Stage_Names,0)),"")</f>
        <v/>
      </c>
      <c r="K63" s="34">
        <f>IF(OR(H63="",I63=""),"",I63*J63)</f>
        <v/>
      </c>
      <c r="L63" s="44" t="n"/>
      <c r="M63" s="44" t="n"/>
      <c r="N63" s="29">
        <f>IFERROR(INDEX(Stage_Type,MATCH(H63,Stage_Names,0)),"")</f>
        <v/>
      </c>
      <c r="O63" s="29">
        <f>IF(OR(H63="",L63=""),"",IF(N63="مفتوح",TODAY()-L63,M63-L63))</f>
        <v/>
      </c>
      <c r="P63" s="29">
        <f>IF(L63="","",TEXT(L63,"YYYY-MM"))</f>
        <v/>
      </c>
      <c r="Q63" s="43" t="n"/>
    </row>
    <row r="64">
      <c r="A64" s="36">
        <f>IF(B64="","",ROW()-2)</f>
        <v/>
      </c>
      <c r="B64" s="45" t="n"/>
      <c r="C64" s="45" t="n"/>
      <c r="D64" s="45" t="n"/>
      <c r="E64" s="45" t="n"/>
      <c r="F64" s="46" t="n"/>
      <c r="G64" s="46" t="n"/>
      <c r="H64" s="46" t="n"/>
      <c r="I64" s="46" t="n"/>
      <c r="J64" s="40">
        <f>IFERROR(INDEX(Stage_Prob,MATCH(H64,Stage_Names,0)),"")</f>
        <v/>
      </c>
      <c r="K64" s="41">
        <f>IF(OR(H64="",I64=""),"",I64*J64)</f>
        <v/>
      </c>
      <c r="L64" s="46" t="n"/>
      <c r="M64" s="46" t="n"/>
      <c r="N64" s="36">
        <f>IFERROR(INDEX(Stage_Type,MATCH(H64,Stage_Names,0)),"")</f>
        <v/>
      </c>
      <c r="O64" s="36">
        <f>IF(OR(H64="",L64=""),"",IF(N64="مفتوح",TODAY()-L64,M64-L64))</f>
        <v/>
      </c>
      <c r="P64" s="36">
        <f>IF(L64="","",TEXT(L64,"YYYY-MM"))</f>
        <v/>
      </c>
      <c r="Q64" s="45" t="n"/>
    </row>
    <row r="65">
      <c r="A65" s="29">
        <f>IF(B65="","",ROW()-2)</f>
        <v/>
      </c>
      <c r="B65" s="43" t="n"/>
      <c r="C65" s="43" t="n"/>
      <c r="D65" s="43" t="n"/>
      <c r="E65" s="43" t="n"/>
      <c r="F65" s="44" t="n"/>
      <c r="G65" s="44" t="n"/>
      <c r="H65" s="44" t="n"/>
      <c r="I65" s="44" t="n"/>
      <c r="J65" s="33">
        <f>IFERROR(INDEX(Stage_Prob,MATCH(H65,Stage_Names,0)),"")</f>
        <v/>
      </c>
      <c r="K65" s="34">
        <f>IF(OR(H65="",I65=""),"",I65*J65)</f>
        <v/>
      </c>
      <c r="L65" s="44" t="n"/>
      <c r="M65" s="44" t="n"/>
      <c r="N65" s="29">
        <f>IFERROR(INDEX(Stage_Type,MATCH(H65,Stage_Names,0)),"")</f>
        <v/>
      </c>
      <c r="O65" s="29">
        <f>IF(OR(H65="",L65=""),"",IF(N65="مفتوح",TODAY()-L65,M65-L65))</f>
        <v/>
      </c>
      <c r="P65" s="29">
        <f>IF(L65="","",TEXT(L65,"YYYY-MM"))</f>
        <v/>
      </c>
      <c r="Q65" s="43" t="n"/>
    </row>
    <row r="66">
      <c r="A66" s="36">
        <f>IF(B66="","",ROW()-2)</f>
        <v/>
      </c>
      <c r="B66" s="45" t="n"/>
      <c r="C66" s="45" t="n"/>
      <c r="D66" s="45" t="n"/>
      <c r="E66" s="45" t="n"/>
      <c r="F66" s="46" t="n"/>
      <c r="G66" s="46" t="n"/>
      <c r="H66" s="46" t="n"/>
      <c r="I66" s="46" t="n"/>
      <c r="J66" s="40">
        <f>IFERROR(INDEX(Stage_Prob,MATCH(H66,Stage_Names,0)),"")</f>
        <v/>
      </c>
      <c r="K66" s="41">
        <f>IF(OR(H66="",I66=""),"",I66*J66)</f>
        <v/>
      </c>
      <c r="L66" s="46" t="n"/>
      <c r="M66" s="46" t="n"/>
      <c r="N66" s="36">
        <f>IFERROR(INDEX(Stage_Type,MATCH(H66,Stage_Names,0)),"")</f>
        <v/>
      </c>
      <c r="O66" s="36">
        <f>IF(OR(H66="",L66=""),"",IF(N66="مفتوح",TODAY()-L66,M66-L66))</f>
        <v/>
      </c>
      <c r="P66" s="36">
        <f>IF(L66="","",TEXT(L66,"YYYY-MM"))</f>
        <v/>
      </c>
      <c r="Q66" s="45" t="n"/>
    </row>
    <row r="67">
      <c r="A67" s="29">
        <f>IF(B67="","",ROW()-2)</f>
        <v/>
      </c>
      <c r="B67" s="43" t="n"/>
      <c r="C67" s="43" t="n"/>
      <c r="D67" s="43" t="n"/>
      <c r="E67" s="43" t="n"/>
      <c r="F67" s="44" t="n"/>
      <c r="G67" s="44" t="n"/>
      <c r="H67" s="44" t="n"/>
      <c r="I67" s="44" t="n"/>
      <c r="J67" s="33">
        <f>IFERROR(INDEX(Stage_Prob,MATCH(H67,Stage_Names,0)),"")</f>
        <v/>
      </c>
      <c r="K67" s="34">
        <f>IF(OR(H67="",I67=""),"",I67*J67)</f>
        <v/>
      </c>
      <c r="L67" s="44" t="n"/>
      <c r="M67" s="44" t="n"/>
      <c r="N67" s="29">
        <f>IFERROR(INDEX(Stage_Type,MATCH(H67,Stage_Names,0)),"")</f>
        <v/>
      </c>
      <c r="O67" s="29">
        <f>IF(OR(H67="",L67=""),"",IF(N67="مفتوح",TODAY()-L67,M67-L67))</f>
        <v/>
      </c>
      <c r="P67" s="29">
        <f>IF(L67="","",TEXT(L67,"YYYY-MM"))</f>
        <v/>
      </c>
      <c r="Q67" s="43" t="n"/>
    </row>
    <row r="68">
      <c r="A68" s="36">
        <f>IF(B68="","",ROW()-2)</f>
        <v/>
      </c>
      <c r="B68" s="45" t="n"/>
      <c r="C68" s="45" t="n"/>
      <c r="D68" s="45" t="n"/>
      <c r="E68" s="45" t="n"/>
      <c r="F68" s="46" t="n"/>
      <c r="G68" s="46" t="n"/>
      <c r="H68" s="46" t="n"/>
      <c r="I68" s="46" t="n"/>
      <c r="J68" s="40">
        <f>IFERROR(INDEX(Stage_Prob,MATCH(H68,Stage_Names,0)),"")</f>
        <v/>
      </c>
      <c r="K68" s="41">
        <f>IF(OR(H68="",I68=""),"",I68*J68)</f>
        <v/>
      </c>
      <c r="L68" s="46" t="n"/>
      <c r="M68" s="46" t="n"/>
      <c r="N68" s="36">
        <f>IFERROR(INDEX(Stage_Type,MATCH(H68,Stage_Names,0)),"")</f>
        <v/>
      </c>
      <c r="O68" s="36">
        <f>IF(OR(H68="",L68=""),"",IF(N68="مفتوح",TODAY()-L68,M68-L68))</f>
        <v/>
      </c>
      <c r="P68" s="36">
        <f>IF(L68="","",TEXT(L68,"YYYY-MM"))</f>
        <v/>
      </c>
      <c r="Q68" s="45" t="n"/>
    </row>
    <row r="69">
      <c r="A69" s="29">
        <f>IF(B69="","",ROW()-2)</f>
        <v/>
      </c>
      <c r="B69" s="43" t="n"/>
      <c r="C69" s="43" t="n"/>
      <c r="D69" s="43" t="n"/>
      <c r="E69" s="43" t="n"/>
      <c r="F69" s="44" t="n"/>
      <c r="G69" s="44" t="n"/>
      <c r="H69" s="44" t="n"/>
      <c r="I69" s="44" t="n"/>
      <c r="J69" s="33">
        <f>IFERROR(INDEX(Stage_Prob,MATCH(H69,Stage_Names,0)),"")</f>
        <v/>
      </c>
      <c r="K69" s="34">
        <f>IF(OR(H69="",I69=""),"",I69*J69)</f>
        <v/>
      </c>
      <c r="L69" s="44" t="n"/>
      <c r="M69" s="44" t="n"/>
      <c r="N69" s="29">
        <f>IFERROR(INDEX(Stage_Type,MATCH(H69,Stage_Names,0)),"")</f>
        <v/>
      </c>
      <c r="O69" s="29">
        <f>IF(OR(H69="",L69=""),"",IF(N69="مفتوح",TODAY()-L69,M69-L69))</f>
        <v/>
      </c>
      <c r="P69" s="29">
        <f>IF(L69="","",TEXT(L69,"YYYY-MM"))</f>
        <v/>
      </c>
      <c r="Q69" s="43" t="n"/>
    </row>
    <row r="70">
      <c r="A70" s="36">
        <f>IF(B70="","",ROW()-2)</f>
        <v/>
      </c>
      <c r="B70" s="45" t="n"/>
      <c r="C70" s="45" t="n"/>
      <c r="D70" s="45" t="n"/>
      <c r="E70" s="45" t="n"/>
      <c r="F70" s="46" t="n"/>
      <c r="G70" s="46" t="n"/>
      <c r="H70" s="46" t="n"/>
      <c r="I70" s="46" t="n"/>
      <c r="J70" s="40">
        <f>IFERROR(INDEX(Stage_Prob,MATCH(H70,Stage_Names,0)),"")</f>
        <v/>
      </c>
      <c r="K70" s="41">
        <f>IF(OR(H70="",I70=""),"",I70*J70)</f>
        <v/>
      </c>
      <c r="L70" s="46" t="n"/>
      <c r="M70" s="46" t="n"/>
      <c r="N70" s="36">
        <f>IFERROR(INDEX(Stage_Type,MATCH(H70,Stage_Names,0)),"")</f>
        <v/>
      </c>
      <c r="O70" s="36">
        <f>IF(OR(H70="",L70=""),"",IF(N70="مفتوح",TODAY()-L70,M70-L70))</f>
        <v/>
      </c>
      <c r="P70" s="36">
        <f>IF(L70="","",TEXT(L70,"YYYY-MM"))</f>
        <v/>
      </c>
      <c r="Q70" s="45" t="n"/>
    </row>
    <row r="71">
      <c r="A71" s="29">
        <f>IF(B71="","",ROW()-2)</f>
        <v/>
      </c>
      <c r="B71" s="43" t="n"/>
      <c r="C71" s="43" t="n"/>
      <c r="D71" s="43" t="n"/>
      <c r="E71" s="43" t="n"/>
      <c r="F71" s="44" t="n"/>
      <c r="G71" s="44" t="n"/>
      <c r="H71" s="44" t="n"/>
      <c r="I71" s="44" t="n"/>
      <c r="J71" s="33">
        <f>IFERROR(INDEX(Stage_Prob,MATCH(H71,Stage_Names,0)),"")</f>
        <v/>
      </c>
      <c r="K71" s="34">
        <f>IF(OR(H71="",I71=""),"",I71*J71)</f>
        <v/>
      </c>
      <c r="L71" s="44" t="n"/>
      <c r="M71" s="44" t="n"/>
      <c r="N71" s="29">
        <f>IFERROR(INDEX(Stage_Type,MATCH(H71,Stage_Names,0)),"")</f>
        <v/>
      </c>
      <c r="O71" s="29">
        <f>IF(OR(H71="",L71=""),"",IF(N71="مفتوح",TODAY()-L71,M71-L71))</f>
        <v/>
      </c>
      <c r="P71" s="29">
        <f>IF(L71="","",TEXT(L71,"YYYY-MM"))</f>
        <v/>
      </c>
      <c r="Q71" s="43" t="n"/>
    </row>
    <row r="72">
      <c r="A72" s="36">
        <f>IF(B72="","",ROW()-2)</f>
        <v/>
      </c>
      <c r="B72" s="45" t="n"/>
      <c r="C72" s="45" t="n"/>
      <c r="D72" s="45" t="n"/>
      <c r="E72" s="45" t="n"/>
      <c r="F72" s="46" t="n"/>
      <c r="G72" s="46" t="n"/>
      <c r="H72" s="46" t="n"/>
      <c r="I72" s="46" t="n"/>
      <c r="J72" s="40">
        <f>IFERROR(INDEX(Stage_Prob,MATCH(H72,Stage_Names,0)),"")</f>
        <v/>
      </c>
      <c r="K72" s="41">
        <f>IF(OR(H72="",I72=""),"",I72*J72)</f>
        <v/>
      </c>
      <c r="L72" s="46" t="n"/>
      <c r="M72" s="46" t="n"/>
      <c r="N72" s="36">
        <f>IFERROR(INDEX(Stage_Type,MATCH(H72,Stage_Names,0)),"")</f>
        <v/>
      </c>
      <c r="O72" s="36">
        <f>IF(OR(H72="",L72=""),"",IF(N72="مفتوح",TODAY()-L72,M72-L72))</f>
        <v/>
      </c>
      <c r="P72" s="36">
        <f>IF(L72="","",TEXT(L72,"YYYY-MM"))</f>
        <v/>
      </c>
      <c r="Q72" s="45" t="n"/>
    </row>
    <row r="73">
      <c r="A73" s="29">
        <f>IF(B73="","",ROW()-2)</f>
        <v/>
      </c>
      <c r="B73" s="43" t="n"/>
      <c r="C73" s="43" t="n"/>
      <c r="D73" s="43" t="n"/>
      <c r="E73" s="43" t="n"/>
      <c r="F73" s="44" t="n"/>
      <c r="G73" s="44" t="n"/>
      <c r="H73" s="44" t="n"/>
      <c r="I73" s="44" t="n"/>
      <c r="J73" s="33">
        <f>IFERROR(INDEX(Stage_Prob,MATCH(H73,Stage_Names,0)),"")</f>
        <v/>
      </c>
      <c r="K73" s="34">
        <f>IF(OR(H73="",I73=""),"",I73*J73)</f>
        <v/>
      </c>
      <c r="L73" s="44" t="n"/>
      <c r="M73" s="44" t="n"/>
      <c r="N73" s="29">
        <f>IFERROR(INDEX(Stage_Type,MATCH(H73,Stage_Names,0)),"")</f>
        <v/>
      </c>
      <c r="O73" s="29">
        <f>IF(OR(H73="",L73=""),"",IF(N73="مفتوح",TODAY()-L73,M73-L73))</f>
        <v/>
      </c>
      <c r="P73" s="29">
        <f>IF(L73="","",TEXT(L73,"YYYY-MM"))</f>
        <v/>
      </c>
      <c r="Q73" s="43" t="n"/>
    </row>
    <row r="74">
      <c r="A74" s="36">
        <f>IF(B74="","",ROW()-2)</f>
        <v/>
      </c>
      <c r="B74" s="45" t="n"/>
      <c r="C74" s="45" t="n"/>
      <c r="D74" s="45" t="n"/>
      <c r="E74" s="45" t="n"/>
      <c r="F74" s="46" t="n"/>
      <c r="G74" s="46" t="n"/>
      <c r="H74" s="46" t="n"/>
      <c r="I74" s="46" t="n"/>
      <c r="J74" s="40">
        <f>IFERROR(INDEX(Stage_Prob,MATCH(H74,Stage_Names,0)),"")</f>
        <v/>
      </c>
      <c r="K74" s="41">
        <f>IF(OR(H74="",I74=""),"",I74*J74)</f>
        <v/>
      </c>
      <c r="L74" s="46" t="n"/>
      <c r="M74" s="46" t="n"/>
      <c r="N74" s="36">
        <f>IFERROR(INDEX(Stage_Type,MATCH(H74,Stage_Names,0)),"")</f>
        <v/>
      </c>
      <c r="O74" s="36">
        <f>IF(OR(H74="",L74=""),"",IF(N74="مفتوح",TODAY()-L74,M74-L74))</f>
        <v/>
      </c>
      <c r="P74" s="36">
        <f>IF(L74="","",TEXT(L74,"YYYY-MM"))</f>
        <v/>
      </c>
      <c r="Q74" s="45" t="n"/>
    </row>
    <row r="75">
      <c r="A75" s="29">
        <f>IF(B75="","",ROW()-2)</f>
        <v/>
      </c>
      <c r="B75" s="43" t="n"/>
      <c r="C75" s="43" t="n"/>
      <c r="D75" s="43" t="n"/>
      <c r="E75" s="43" t="n"/>
      <c r="F75" s="44" t="n"/>
      <c r="G75" s="44" t="n"/>
      <c r="H75" s="44" t="n"/>
      <c r="I75" s="44" t="n"/>
      <c r="J75" s="33">
        <f>IFERROR(INDEX(Stage_Prob,MATCH(H75,Stage_Names,0)),"")</f>
        <v/>
      </c>
      <c r="K75" s="34">
        <f>IF(OR(H75="",I75=""),"",I75*J75)</f>
        <v/>
      </c>
      <c r="L75" s="44" t="n"/>
      <c r="M75" s="44" t="n"/>
      <c r="N75" s="29">
        <f>IFERROR(INDEX(Stage_Type,MATCH(H75,Stage_Names,0)),"")</f>
        <v/>
      </c>
      <c r="O75" s="29">
        <f>IF(OR(H75="",L75=""),"",IF(N75="مفتوح",TODAY()-L75,M75-L75))</f>
        <v/>
      </c>
      <c r="P75" s="29">
        <f>IF(L75="","",TEXT(L75,"YYYY-MM"))</f>
        <v/>
      </c>
      <c r="Q75" s="43" t="n"/>
    </row>
    <row r="76">
      <c r="A76" s="36">
        <f>IF(B76="","",ROW()-2)</f>
        <v/>
      </c>
      <c r="B76" s="45" t="n"/>
      <c r="C76" s="45" t="n"/>
      <c r="D76" s="45" t="n"/>
      <c r="E76" s="45" t="n"/>
      <c r="F76" s="46" t="n"/>
      <c r="G76" s="46" t="n"/>
      <c r="H76" s="46" t="n"/>
      <c r="I76" s="46" t="n"/>
      <c r="J76" s="40">
        <f>IFERROR(INDEX(Stage_Prob,MATCH(H76,Stage_Names,0)),"")</f>
        <v/>
      </c>
      <c r="K76" s="41">
        <f>IF(OR(H76="",I76=""),"",I76*J76)</f>
        <v/>
      </c>
      <c r="L76" s="46" t="n"/>
      <c r="M76" s="46" t="n"/>
      <c r="N76" s="36">
        <f>IFERROR(INDEX(Stage_Type,MATCH(H76,Stage_Names,0)),"")</f>
        <v/>
      </c>
      <c r="O76" s="36">
        <f>IF(OR(H76="",L76=""),"",IF(N76="مفتوح",TODAY()-L76,M76-L76))</f>
        <v/>
      </c>
      <c r="P76" s="36">
        <f>IF(L76="","",TEXT(L76,"YYYY-MM"))</f>
        <v/>
      </c>
      <c r="Q76" s="45" t="n"/>
    </row>
    <row r="77">
      <c r="A77" s="29">
        <f>IF(B77="","",ROW()-2)</f>
        <v/>
      </c>
      <c r="B77" s="43" t="n"/>
      <c r="C77" s="43" t="n"/>
      <c r="D77" s="43" t="n"/>
      <c r="E77" s="43" t="n"/>
      <c r="F77" s="44" t="n"/>
      <c r="G77" s="44" t="n"/>
      <c r="H77" s="44" t="n"/>
      <c r="I77" s="44" t="n"/>
      <c r="J77" s="33">
        <f>IFERROR(INDEX(Stage_Prob,MATCH(H77,Stage_Names,0)),"")</f>
        <v/>
      </c>
      <c r="K77" s="34">
        <f>IF(OR(H77="",I77=""),"",I77*J77)</f>
        <v/>
      </c>
      <c r="L77" s="44" t="n"/>
      <c r="M77" s="44" t="n"/>
      <c r="N77" s="29">
        <f>IFERROR(INDEX(Stage_Type,MATCH(H77,Stage_Names,0)),"")</f>
        <v/>
      </c>
      <c r="O77" s="29">
        <f>IF(OR(H77="",L77=""),"",IF(N77="مفتوح",TODAY()-L77,M77-L77))</f>
        <v/>
      </c>
      <c r="P77" s="29">
        <f>IF(L77="","",TEXT(L77,"YYYY-MM"))</f>
        <v/>
      </c>
      <c r="Q77" s="43" t="n"/>
    </row>
    <row r="78">
      <c r="A78" s="36">
        <f>IF(B78="","",ROW()-2)</f>
        <v/>
      </c>
      <c r="B78" s="45" t="n"/>
      <c r="C78" s="45" t="n"/>
      <c r="D78" s="45" t="n"/>
      <c r="E78" s="45" t="n"/>
      <c r="F78" s="46" t="n"/>
      <c r="G78" s="46" t="n"/>
      <c r="H78" s="46" t="n"/>
      <c r="I78" s="46" t="n"/>
      <c r="J78" s="40">
        <f>IFERROR(INDEX(Stage_Prob,MATCH(H78,Stage_Names,0)),"")</f>
        <v/>
      </c>
      <c r="K78" s="41">
        <f>IF(OR(H78="",I78=""),"",I78*J78)</f>
        <v/>
      </c>
      <c r="L78" s="46" t="n"/>
      <c r="M78" s="46" t="n"/>
      <c r="N78" s="36">
        <f>IFERROR(INDEX(Stage_Type,MATCH(H78,Stage_Names,0)),"")</f>
        <v/>
      </c>
      <c r="O78" s="36">
        <f>IF(OR(H78="",L78=""),"",IF(N78="مفتوح",TODAY()-L78,M78-L78))</f>
        <v/>
      </c>
      <c r="P78" s="36">
        <f>IF(L78="","",TEXT(L78,"YYYY-MM"))</f>
        <v/>
      </c>
      <c r="Q78" s="45" t="n"/>
    </row>
    <row r="79">
      <c r="A79" s="29">
        <f>IF(B79="","",ROW()-2)</f>
        <v/>
      </c>
      <c r="B79" s="43" t="n"/>
      <c r="C79" s="43" t="n"/>
      <c r="D79" s="43" t="n"/>
      <c r="E79" s="43" t="n"/>
      <c r="F79" s="44" t="n"/>
      <c r="G79" s="44" t="n"/>
      <c r="H79" s="44" t="n"/>
      <c r="I79" s="44" t="n"/>
      <c r="J79" s="33">
        <f>IFERROR(INDEX(Stage_Prob,MATCH(H79,Stage_Names,0)),"")</f>
        <v/>
      </c>
      <c r="K79" s="34">
        <f>IF(OR(H79="",I79=""),"",I79*J79)</f>
        <v/>
      </c>
      <c r="L79" s="44" t="n"/>
      <c r="M79" s="44" t="n"/>
      <c r="N79" s="29">
        <f>IFERROR(INDEX(Stage_Type,MATCH(H79,Stage_Names,0)),"")</f>
        <v/>
      </c>
      <c r="O79" s="29">
        <f>IF(OR(H79="",L79=""),"",IF(N79="مفتوح",TODAY()-L79,M79-L79))</f>
        <v/>
      </c>
      <c r="P79" s="29">
        <f>IF(L79="","",TEXT(L79,"YYYY-MM"))</f>
        <v/>
      </c>
      <c r="Q79" s="43" t="n"/>
    </row>
    <row r="80">
      <c r="A80" s="36">
        <f>IF(B80="","",ROW()-2)</f>
        <v/>
      </c>
      <c r="B80" s="45" t="n"/>
      <c r="C80" s="45" t="n"/>
      <c r="D80" s="45" t="n"/>
      <c r="E80" s="45" t="n"/>
      <c r="F80" s="46" t="n"/>
      <c r="G80" s="46" t="n"/>
      <c r="H80" s="46" t="n"/>
      <c r="I80" s="46" t="n"/>
      <c r="J80" s="40">
        <f>IFERROR(INDEX(Stage_Prob,MATCH(H80,Stage_Names,0)),"")</f>
        <v/>
      </c>
      <c r="K80" s="41">
        <f>IF(OR(H80="",I80=""),"",I80*J80)</f>
        <v/>
      </c>
      <c r="L80" s="46" t="n"/>
      <c r="M80" s="46" t="n"/>
      <c r="N80" s="36">
        <f>IFERROR(INDEX(Stage_Type,MATCH(H80,Stage_Names,0)),"")</f>
        <v/>
      </c>
      <c r="O80" s="36">
        <f>IF(OR(H80="",L80=""),"",IF(N80="مفتوح",TODAY()-L80,M80-L80))</f>
        <v/>
      </c>
      <c r="P80" s="36">
        <f>IF(L80="","",TEXT(L80,"YYYY-MM"))</f>
        <v/>
      </c>
      <c r="Q80" s="45" t="n"/>
    </row>
    <row r="81">
      <c r="A81" s="29">
        <f>IF(B81="","",ROW()-2)</f>
        <v/>
      </c>
      <c r="B81" s="43" t="n"/>
      <c r="C81" s="43" t="n"/>
      <c r="D81" s="43" t="n"/>
      <c r="E81" s="43" t="n"/>
      <c r="F81" s="44" t="n"/>
      <c r="G81" s="44" t="n"/>
      <c r="H81" s="44" t="n"/>
      <c r="I81" s="44" t="n"/>
      <c r="J81" s="33">
        <f>IFERROR(INDEX(Stage_Prob,MATCH(H81,Stage_Names,0)),"")</f>
        <v/>
      </c>
      <c r="K81" s="34">
        <f>IF(OR(H81="",I81=""),"",I81*J81)</f>
        <v/>
      </c>
      <c r="L81" s="44" t="n"/>
      <c r="M81" s="44" t="n"/>
      <c r="N81" s="29">
        <f>IFERROR(INDEX(Stage_Type,MATCH(H81,Stage_Names,0)),"")</f>
        <v/>
      </c>
      <c r="O81" s="29">
        <f>IF(OR(H81="",L81=""),"",IF(N81="مفتوح",TODAY()-L81,M81-L81))</f>
        <v/>
      </c>
      <c r="P81" s="29">
        <f>IF(L81="","",TEXT(L81,"YYYY-MM"))</f>
        <v/>
      </c>
      <c r="Q81" s="43" t="n"/>
    </row>
    <row r="82">
      <c r="A82" s="36">
        <f>IF(B82="","",ROW()-2)</f>
        <v/>
      </c>
      <c r="B82" s="45" t="n"/>
      <c r="C82" s="45" t="n"/>
      <c r="D82" s="45" t="n"/>
      <c r="E82" s="45" t="n"/>
      <c r="F82" s="46" t="n"/>
      <c r="G82" s="46" t="n"/>
      <c r="H82" s="46" t="n"/>
      <c r="I82" s="46" t="n"/>
      <c r="J82" s="40">
        <f>IFERROR(INDEX(Stage_Prob,MATCH(H82,Stage_Names,0)),"")</f>
        <v/>
      </c>
      <c r="K82" s="41">
        <f>IF(OR(H82="",I82=""),"",I82*J82)</f>
        <v/>
      </c>
      <c r="L82" s="46" t="n"/>
      <c r="M82" s="46" t="n"/>
      <c r="N82" s="36">
        <f>IFERROR(INDEX(Stage_Type,MATCH(H82,Stage_Names,0)),"")</f>
        <v/>
      </c>
      <c r="O82" s="36">
        <f>IF(OR(H82="",L82=""),"",IF(N82="مفتوح",TODAY()-L82,M82-L82))</f>
        <v/>
      </c>
      <c r="P82" s="36">
        <f>IF(L82="","",TEXT(L82,"YYYY-MM"))</f>
        <v/>
      </c>
      <c r="Q82" s="45" t="n"/>
    </row>
    <row r="83">
      <c r="A83" s="29">
        <f>IF(B83="","",ROW()-2)</f>
        <v/>
      </c>
      <c r="B83" s="43" t="n"/>
      <c r="C83" s="43" t="n"/>
      <c r="D83" s="43" t="n"/>
      <c r="E83" s="43" t="n"/>
      <c r="F83" s="44" t="n"/>
      <c r="G83" s="44" t="n"/>
      <c r="H83" s="44" t="n"/>
      <c r="I83" s="44" t="n"/>
      <c r="J83" s="33">
        <f>IFERROR(INDEX(Stage_Prob,MATCH(H83,Stage_Names,0)),"")</f>
        <v/>
      </c>
      <c r="K83" s="34">
        <f>IF(OR(H83="",I83=""),"",I83*J83)</f>
        <v/>
      </c>
      <c r="L83" s="44" t="n"/>
      <c r="M83" s="44" t="n"/>
      <c r="N83" s="29">
        <f>IFERROR(INDEX(Stage_Type,MATCH(H83,Stage_Names,0)),"")</f>
        <v/>
      </c>
      <c r="O83" s="29">
        <f>IF(OR(H83="",L83=""),"",IF(N83="مفتوح",TODAY()-L83,M83-L83))</f>
        <v/>
      </c>
      <c r="P83" s="29">
        <f>IF(L83="","",TEXT(L83,"YYYY-MM"))</f>
        <v/>
      </c>
      <c r="Q83" s="43" t="n"/>
    </row>
    <row r="84">
      <c r="A84" s="36">
        <f>IF(B84="","",ROW()-2)</f>
        <v/>
      </c>
      <c r="B84" s="45" t="n"/>
      <c r="C84" s="45" t="n"/>
      <c r="D84" s="45" t="n"/>
      <c r="E84" s="45" t="n"/>
      <c r="F84" s="46" t="n"/>
      <c r="G84" s="46" t="n"/>
      <c r="H84" s="46" t="n"/>
      <c r="I84" s="46" t="n"/>
      <c r="J84" s="40">
        <f>IFERROR(INDEX(Stage_Prob,MATCH(H84,Stage_Names,0)),"")</f>
        <v/>
      </c>
      <c r="K84" s="41">
        <f>IF(OR(H84="",I84=""),"",I84*J84)</f>
        <v/>
      </c>
      <c r="L84" s="46" t="n"/>
      <c r="M84" s="46" t="n"/>
      <c r="N84" s="36">
        <f>IFERROR(INDEX(Stage_Type,MATCH(H84,Stage_Names,0)),"")</f>
        <v/>
      </c>
      <c r="O84" s="36">
        <f>IF(OR(H84="",L84=""),"",IF(N84="مفتوح",TODAY()-L84,M84-L84))</f>
        <v/>
      </c>
      <c r="P84" s="36">
        <f>IF(L84="","",TEXT(L84,"YYYY-MM"))</f>
        <v/>
      </c>
      <c r="Q84" s="45" t="n"/>
    </row>
    <row r="85">
      <c r="A85" s="29">
        <f>IF(B85="","",ROW()-2)</f>
        <v/>
      </c>
      <c r="B85" s="43" t="n"/>
      <c r="C85" s="43" t="n"/>
      <c r="D85" s="43" t="n"/>
      <c r="E85" s="43" t="n"/>
      <c r="F85" s="44" t="n"/>
      <c r="G85" s="44" t="n"/>
      <c r="H85" s="44" t="n"/>
      <c r="I85" s="44" t="n"/>
      <c r="J85" s="33">
        <f>IFERROR(INDEX(Stage_Prob,MATCH(H85,Stage_Names,0)),"")</f>
        <v/>
      </c>
      <c r="K85" s="34">
        <f>IF(OR(H85="",I85=""),"",I85*J85)</f>
        <v/>
      </c>
      <c r="L85" s="44" t="n"/>
      <c r="M85" s="44" t="n"/>
      <c r="N85" s="29">
        <f>IFERROR(INDEX(Stage_Type,MATCH(H85,Stage_Names,0)),"")</f>
        <v/>
      </c>
      <c r="O85" s="29">
        <f>IF(OR(H85="",L85=""),"",IF(N85="مفتوح",TODAY()-L85,M85-L85))</f>
        <v/>
      </c>
      <c r="P85" s="29">
        <f>IF(L85="","",TEXT(L85,"YYYY-MM"))</f>
        <v/>
      </c>
      <c r="Q85" s="43" t="n"/>
    </row>
    <row r="86">
      <c r="A86" s="36">
        <f>IF(B86="","",ROW()-2)</f>
        <v/>
      </c>
      <c r="B86" s="45" t="n"/>
      <c r="C86" s="45" t="n"/>
      <c r="D86" s="45" t="n"/>
      <c r="E86" s="45" t="n"/>
      <c r="F86" s="46" t="n"/>
      <c r="G86" s="46" t="n"/>
      <c r="H86" s="46" t="n"/>
      <c r="I86" s="46" t="n"/>
      <c r="J86" s="40">
        <f>IFERROR(INDEX(Stage_Prob,MATCH(H86,Stage_Names,0)),"")</f>
        <v/>
      </c>
      <c r="K86" s="41">
        <f>IF(OR(H86="",I86=""),"",I86*J86)</f>
        <v/>
      </c>
      <c r="L86" s="46" t="n"/>
      <c r="M86" s="46" t="n"/>
      <c r="N86" s="36">
        <f>IFERROR(INDEX(Stage_Type,MATCH(H86,Stage_Names,0)),"")</f>
        <v/>
      </c>
      <c r="O86" s="36">
        <f>IF(OR(H86="",L86=""),"",IF(N86="مفتوح",TODAY()-L86,M86-L86))</f>
        <v/>
      </c>
      <c r="P86" s="36">
        <f>IF(L86="","",TEXT(L86,"YYYY-MM"))</f>
        <v/>
      </c>
      <c r="Q86" s="45" t="n"/>
    </row>
    <row r="87">
      <c r="A87" s="29">
        <f>IF(B87="","",ROW()-2)</f>
        <v/>
      </c>
      <c r="B87" s="43" t="n"/>
      <c r="C87" s="43" t="n"/>
      <c r="D87" s="43" t="n"/>
      <c r="E87" s="43" t="n"/>
      <c r="F87" s="44" t="n"/>
      <c r="G87" s="44" t="n"/>
      <c r="H87" s="44" t="n"/>
      <c r="I87" s="44" t="n"/>
      <c r="J87" s="33">
        <f>IFERROR(INDEX(Stage_Prob,MATCH(H87,Stage_Names,0)),"")</f>
        <v/>
      </c>
      <c r="K87" s="34">
        <f>IF(OR(H87="",I87=""),"",I87*J87)</f>
        <v/>
      </c>
      <c r="L87" s="44" t="n"/>
      <c r="M87" s="44" t="n"/>
      <c r="N87" s="29">
        <f>IFERROR(INDEX(Stage_Type,MATCH(H87,Stage_Names,0)),"")</f>
        <v/>
      </c>
      <c r="O87" s="29">
        <f>IF(OR(H87="",L87=""),"",IF(N87="مفتوح",TODAY()-L87,M87-L87))</f>
        <v/>
      </c>
      <c r="P87" s="29">
        <f>IF(L87="","",TEXT(L87,"YYYY-MM"))</f>
        <v/>
      </c>
      <c r="Q87" s="43" t="n"/>
    </row>
    <row r="88">
      <c r="A88" s="36">
        <f>IF(B88="","",ROW()-2)</f>
        <v/>
      </c>
      <c r="B88" s="45" t="n"/>
      <c r="C88" s="45" t="n"/>
      <c r="D88" s="45" t="n"/>
      <c r="E88" s="45" t="n"/>
      <c r="F88" s="46" t="n"/>
      <c r="G88" s="46" t="n"/>
      <c r="H88" s="46" t="n"/>
      <c r="I88" s="46" t="n"/>
      <c r="J88" s="40">
        <f>IFERROR(INDEX(Stage_Prob,MATCH(H88,Stage_Names,0)),"")</f>
        <v/>
      </c>
      <c r="K88" s="41">
        <f>IF(OR(H88="",I88=""),"",I88*J88)</f>
        <v/>
      </c>
      <c r="L88" s="46" t="n"/>
      <c r="M88" s="46" t="n"/>
      <c r="N88" s="36">
        <f>IFERROR(INDEX(Stage_Type,MATCH(H88,Stage_Names,0)),"")</f>
        <v/>
      </c>
      <c r="O88" s="36">
        <f>IF(OR(H88="",L88=""),"",IF(N88="مفتوح",TODAY()-L88,M88-L88))</f>
        <v/>
      </c>
      <c r="P88" s="36">
        <f>IF(L88="","",TEXT(L88,"YYYY-MM"))</f>
        <v/>
      </c>
      <c r="Q88" s="45" t="n"/>
    </row>
    <row r="89">
      <c r="A89" s="29">
        <f>IF(B89="","",ROW()-2)</f>
        <v/>
      </c>
      <c r="B89" s="43" t="n"/>
      <c r="C89" s="43" t="n"/>
      <c r="D89" s="43" t="n"/>
      <c r="E89" s="43" t="n"/>
      <c r="F89" s="44" t="n"/>
      <c r="G89" s="44" t="n"/>
      <c r="H89" s="44" t="n"/>
      <c r="I89" s="44" t="n"/>
      <c r="J89" s="33">
        <f>IFERROR(INDEX(Stage_Prob,MATCH(H89,Stage_Names,0)),"")</f>
        <v/>
      </c>
      <c r="K89" s="34">
        <f>IF(OR(H89="",I89=""),"",I89*J89)</f>
        <v/>
      </c>
      <c r="L89" s="44" t="n"/>
      <c r="M89" s="44" t="n"/>
      <c r="N89" s="29">
        <f>IFERROR(INDEX(Stage_Type,MATCH(H89,Stage_Names,0)),"")</f>
        <v/>
      </c>
      <c r="O89" s="29">
        <f>IF(OR(H89="",L89=""),"",IF(N89="مفتوح",TODAY()-L89,M89-L89))</f>
        <v/>
      </c>
      <c r="P89" s="29">
        <f>IF(L89="","",TEXT(L89,"YYYY-MM"))</f>
        <v/>
      </c>
      <c r="Q89" s="43" t="n"/>
    </row>
    <row r="90">
      <c r="A90" s="36">
        <f>IF(B90="","",ROW()-2)</f>
        <v/>
      </c>
      <c r="B90" s="45" t="n"/>
      <c r="C90" s="45" t="n"/>
      <c r="D90" s="45" t="n"/>
      <c r="E90" s="45" t="n"/>
      <c r="F90" s="46" t="n"/>
      <c r="G90" s="46" t="n"/>
      <c r="H90" s="46" t="n"/>
      <c r="I90" s="46" t="n"/>
      <c r="J90" s="40">
        <f>IFERROR(INDEX(Stage_Prob,MATCH(H90,Stage_Names,0)),"")</f>
        <v/>
      </c>
      <c r="K90" s="41">
        <f>IF(OR(H90="",I90=""),"",I90*J90)</f>
        <v/>
      </c>
      <c r="L90" s="46" t="n"/>
      <c r="M90" s="46" t="n"/>
      <c r="N90" s="36">
        <f>IFERROR(INDEX(Stage_Type,MATCH(H90,Stage_Names,0)),"")</f>
        <v/>
      </c>
      <c r="O90" s="36">
        <f>IF(OR(H90="",L90=""),"",IF(N90="مفتوح",TODAY()-L90,M90-L90))</f>
        <v/>
      </c>
      <c r="P90" s="36">
        <f>IF(L90="","",TEXT(L90,"YYYY-MM"))</f>
        <v/>
      </c>
      <c r="Q90" s="45" t="n"/>
    </row>
    <row r="91">
      <c r="A91" s="29">
        <f>IF(B91="","",ROW()-2)</f>
        <v/>
      </c>
      <c r="B91" s="43" t="n"/>
      <c r="C91" s="43" t="n"/>
      <c r="D91" s="43" t="n"/>
      <c r="E91" s="43" t="n"/>
      <c r="F91" s="44" t="n"/>
      <c r="G91" s="44" t="n"/>
      <c r="H91" s="44" t="n"/>
      <c r="I91" s="44" t="n"/>
      <c r="J91" s="33">
        <f>IFERROR(INDEX(Stage_Prob,MATCH(H91,Stage_Names,0)),"")</f>
        <v/>
      </c>
      <c r="K91" s="34">
        <f>IF(OR(H91="",I91=""),"",I91*J91)</f>
        <v/>
      </c>
      <c r="L91" s="44" t="n"/>
      <c r="M91" s="44" t="n"/>
      <c r="N91" s="29">
        <f>IFERROR(INDEX(Stage_Type,MATCH(H91,Stage_Names,0)),"")</f>
        <v/>
      </c>
      <c r="O91" s="29">
        <f>IF(OR(H91="",L91=""),"",IF(N91="مفتوح",TODAY()-L91,M91-L91))</f>
        <v/>
      </c>
      <c r="P91" s="29">
        <f>IF(L91="","",TEXT(L91,"YYYY-MM"))</f>
        <v/>
      </c>
      <c r="Q91" s="43" t="n"/>
    </row>
    <row r="92">
      <c r="A92" s="36">
        <f>IF(B92="","",ROW()-2)</f>
        <v/>
      </c>
      <c r="B92" s="45" t="n"/>
      <c r="C92" s="45" t="n"/>
      <c r="D92" s="45" t="n"/>
      <c r="E92" s="45" t="n"/>
      <c r="F92" s="46" t="n"/>
      <c r="G92" s="46" t="n"/>
      <c r="H92" s="46" t="n"/>
      <c r="I92" s="46" t="n"/>
      <c r="J92" s="40">
        <f>IFERROR(INDEX(Stage_Prob,MATCH(H92,Stage_Names,0)),"")</f>
        <v/>
      </c>
      <c r="K92" s="41">
        <f>IF(OR(H92="",I92=""),"",I92*J92)</f>
        <v/>
      </c>
      <c r="L92" s="46" t="n"/>
      <c r="M92" s="46" t="n"/>
      <c r="N92" s="36">
        <f>IFERROR(INDEX(Stage_Type,MATCH(H92,Stage_Names,0)),"")</f>
        <v/>
      </c>
      <c r="O92" s="36">
        <f>IF(OR(H92="",L92=""),"",IF(N92="مفتوح",TODAY()-L92,M92-L92))</f>
        <v/>
      </c>
      <c r="P92" s="36">
        <f>IF(L92="","",TEXT(L92,"YYYY-MM"))</f>
        <v/>
      </c>
      <c r="Q92" s="45" t="n"/>
    </row>
    <row r="93">
      <c r="A93" s="29">
        <f>IF(B93="","",ROW()-2)</f>
        <v/>
      </c>
      <c r="B93" s="43" t="n"/>
      <c r="C93" s="43" t="n"/>
      <c r="D93" s="43" t="n"/>
      <c r="E93" s="43" t="n"/>
      <c r="F93" s="44" t="n"/>
      <c r="G93" s="44" t="n"/>
      <c r="H93" s="44" t="n"/>
      <c r="I93" s="44" t="n"/>
      <c r="J93" s="33">
        <f>IFERROR(INDEX(Stage_Prob,MATCH(H93,Stage_Names,0)),"")</f>
        <v/>
      </c>
      <c r="K93" s="34">
        <f>IF(OR(H93="",I93=""),"",I93*J93)</f>
        <v/>
      </c>
      <c r="L93" s="44" t="n"/>
      <c r="M93" s="44" t="n"/>
      <c r="N93" s="29">
        <f>IFERROR(INDEX(Stage_Type,MATCH(H93,Stage_Names,0)),"")</f>
        <v/>
      </c>
      <c r="O93" s="29">
        <f>IF(OR(H93="",L93=""),"",IF(N93="مفتوح",TODAY()-L93,M93-L93))</f>
        <v/>
      </c>
      <c r="P93" s="29">
        <f>IF(L93="","",TEXT(L93,"YYYY-MM"))</f>
        <v/>
      </c>
      <c r="Q93" s="43" t="n"/>
    </row>
    <row r="94">
      <c r="A94" s="36">
        <f>IF(B94="","",ROW()-2)</f>
        <v/>
      </c>
      <c r="B94" s="45" t="n"/>
      <c r="C94" s="45" t="n"/>
      <c r="D94" s="45" t="n"/>
      <c r="E94" s="45" t="n"/>
      <c r="F94" s="46" t="n"/>
      <c r="G94" s="46" t="n"/>
      <c r="H94" s="46" t="n"/>
      <c r="I94" s="46" t="n"/>
      <c r="J94" s="40">
        <f>IFERROR(INDEX(Stage_Prob,MATCH(H94,Stage_Names,0)),"")</f>
        <v/>
      </c>
      <c r="K94" s="41">
        <f>IF(OR(H94="",I94=""),"",I94*J94)</f>
        <v/>
      </c>
      <c r="L94" s="46" t="n"/>
      <c r="M94" s="46" t="n"/>
      <c r="N94" s="36">
        <f>IFERROR(INDEX(Stage_Type,MATCH(H94,Stage_Names,0)),"")</f>
        <v/>
      </c>
      <c r="O94" s="36">
        <f>IF(OR(H94="",L94=""),"",IF(N94="مفتوح",TODAY()-L94,M94-L94))</f>
        <v/>
      </c>
      <c r="P94" s="36">
        <f>IF(L94="","",TEXT(L94,"YYYY-MM"))</f>
        <v/>
      </c>
      <c r="Q94" s="45" t="n"/>
    </row>
    <row r="95">
      <c r="A95" s="29">
        <f>IF(B95="","",ROW()-2)</f>
        <v/>
      </c>
      <c r="B95" s="43" t="n"/>
      <c r="C95" s="43" t="n"/>
      <c r="D95" s="43" t="n"/>
      <c r="E95" s="43" t="n"/>
      <c r="F95" s="44" t="n"/>
      <c r="G95" s="44" t="n"/>
      <c r="H95" s="44" t="n"/>
      <c r="I95" s="44" t="n"/>
      <c r="J95" s="33">
        <f>IFERROR(INDEX(Stage_Prob,MATCH(H95,Stage_Names,0)),"")</f>
        <v/>
      </c>
      <c r="K95" s="34">
        <f>IF(OR(H95="",I95=""),"",I95*J95)</f>
        <v/>
      </c>
      <c r="L95" s="44" t="n"/>
      <c r="M95" s="44" t="n"/>
      <c r="N95" s="29">
        <f>IFERROR(INDEX(Stage_Type,MATCH(H95,Stage_Names,0)),"")</f>
        <v/>
      </c>
      <c r="O95" s="29">
        <f>IF(OR(H95="",L95=""),"",IF(N95="مفتوح",TODAY()-L95,M95-L95))</f>
        <v/>
      </c>
      <c r="P95" s="29">
        <f>IF(L95="","",TEXT(L95,"YYYY-MM"))</f>
        <v/>
      </c>
      <c r="Q95" s="43" t="n"/>
    </row>
    <row r="96">
      <c r="A96" s="36">
        <f>IF(B96="","",ROW()-2)</f>
        <v/>
      </c>
      <c r="B96" s="45" t="n"/>
      <c r="C96" s="45" t="n"/>
      <c r="D96" s="45" t="n"/>
      <c r="E96" s="45" t="n"/>
      <c r="F96" s="46" t="n"/>
      <c r="G96" s="46" t="n"/>
      <c r="H96" s="46" t="n"/>
      <c r="I96" s="46" t="n"/>
      <c r="J96" s="40">
        <f>IFERROR(INDEX(Stage_Prob,MATCH(H96,Stage_Names,0)),"")</f>
        <v/>
      </c>
      <c r="K96" s="41">
        <f>IF(OR(H96="",I96=""),"",I96*J96)</f>
        <v/>
      </c>
      <c r="L96" s="46" t="n"/>
      <c r="M96" s="46" t="n"/>
      <c r="N96" s="36">
        <f>IFERROR(INDEX(Stage_Type,MATCH(H96,Stage_Names,0)),"")</f>
        <v/>
      </c>
      <c r="O96" s="36">
        <f>IF(OR(H96="",L96=""),"",IF(N96="مفتوح",TODAY()-L96,M96-L96))</f>
        <v/>
      </c>
      <c r="P96" s="36">
        <f>IF(L96="","",TEXT(L96,"YYYY-MM"))</f>
        <v/>
      </c>
      <c r="Q96" s="45" t="n"/>
    </row>
    <row r="97">
      <c r="A97" s="29">
        <f>IF(B97="","",ROW()-2)</f>
        <v/>
      </c>
      <c r="B97" s="43" t="n"/>
      <c r="C97" s="43" t="n"/>
      <c r="D97" s="43" t="n"/>
      <c r="E97" s="43" t="n"/>
      <c r="F97" s="44" t="n"/>
      <c r="G97" s="44" t="n"/>
      <c r="H97" s="44" t="n"/>
      <c r="I97" s="44" t="n"/>
      <c r="J97" s="33">
        <f>IFERROR(INDEX(Stage_Prob,MATCH(H97,Stage_Names,0)),"")</f>
        <v/>
      </c>
      <c r="K97" s="34">
        <f>IF(OR(H97="",I97=""),"",I97*J97)</f>
        <v/>
      </c>
      <c r="L97" s="44" t="n"/>
      <c r="M97" s="44" t="n"/>
      <c r="N97" s="29">
        <f>IFERROR(INDEX(Stage_Type,MATCH(H97,Stage_Names,0)),"")</f>
        <v/>
      </c>
      <c r="O97" s="29">
        <f>IF(OR(H97="",L97=""),"",IF(N97="مفتوح",TODAY()-L97,M97-L97))</f>
        <v/>
      </c>
      <c r="P97" s="29">
        <f>IF(L97="","",TEXT(L97,"YYYY-MM"))</f>
        <v/>
      </c>
      <c r="Q97" s="43" t="n"/>
    </row>
    <row r="98">
      <c r="A98" s="36">
        <f>IF(B98="","",ROW()-2)</f>
        <v/>
      </c>
      <c r="B98" s="45" t="n"/>
      <c r="C98" s="45" t="n"/>
      <c r="D98" s="45" t="n"/>
      <c r="E98" s="45" t="n"/>
      <c r="F98" s="46" t="n"/>
      <c r="G98" s="46" t="n"/>
      <c r="H98" s="46" t="n"/>
      <c r="I98" s="46" t="n"/>
      <c r="J98" s="40">
        <f>IFERROR(INDEX(Stage_Prob,MATCH(H98,Stage_Names,0)),"")</f>
        <v/>
      </c>
      <c r="K98" s="41">
        <f>IF(OR(H98="",I98=""),"",I98*J98)</f>
        <v/>
      </c>
      <c r="L98" s="46" t="n"/>
      <c r="M98" s="46" t="n"/>
      <c r="N98" s="36">
        <f>IFERROR(INDEX(Stage_Type,MATCH(H98,Stage_Names,0)),"")</f>
        <v/>
      </c>
      <c r="O98" s="36">
        <f>IF(OR(H98="",L98=""),"",IF(N98="مفتوح",TODAY()-L98,M98-L98))</f>
        <v/>
      </c>
      <c r="P98" s="36">
        <f>IF(L98="","",TEXT(L98,"YYYY-MM"))</f>
        <v/>
      </c>
      <c r="Q98" s="45" t="n"/>
    </row>
    <row r="99">
      <c r="A99" s="29">
        <f>IF(B99="","",ROW()-2)</f>
        <v/>
      </c>
      <c r="B99" s="43" t="n"/>
      <c r="C99" s="43" t="n"/>
      <c r="D99" s="43" t="n"/>
      <c r="E99" s="43" t="n"/>
      <c r="F99" s="44" t="n"/>
      <c r="G99" s="44" t="n"/>
      <c r="H99" s="44" t="n"/>
      <c r="I99" s="44" t="n"/>
      <c r="J99" s="33">
        <f>IFERROR(INDEX(Stage_Prob,MATCH(H99,Stage_Names,0)),"")</f>
        <v/>
      </c>
      <c r="K99" s="34">
        <f>IF(OR(H99="",I99=""),"",I99*J99)</f>
        <v/>
      </c>
      <c r="L99" s="44" t="n"/>
      <c r="M99" s="44" t="n"/>
      <c r="N99" s="29">
        <f>IFERROR(INDEX(Stage_Type,MATCH(H99,Stage_Names,0)),"")</f>
        <v/>
      </c>
      <c r="O99" s="29">
        <f>IF(OR(H99="",L99=""),"",IF(N99="مفتوح",TODAY()-L99,M99-L99))</f>
        <v/>
      </c>
      <c r="P99" s="29">
        <f>IF(L99="","",TEXT(L99,"YYYY-MM"))</f>
        <v/>
      </c>
      <c r="Q99" s="43" t="n"/>
    </row>
    <row r="100">
      <c r="A100" s="36">
        <f>IF(B100="","",ROW()-2)</f>
        <v/>
      </c>
      <c r="B100" s="45" t="n"/>
      <c r="C100" s="45" t="n"/>
      <c r="D100" s="45" t="n"/>
      <c r="E100" s="45" t="n"/>
      <c r="F100" s="46" t="n"/>
      <c r="G100" s="46" t="n"/>
      <c r="H100" s="46" t="n"/>
      <c r="I100" s="46" t="n"/>
      <c r="J100" s="40">
        <f>IFERROR(INDEX(Stage_Prob,MATCH(H100,Stage_Names,0)),"")</f>
        <v/>
      </c>
      <c r="K100" s="41">
        <f>IF(OR(H100="",I100=""),"",I100*J100)</f>
        <v/>
      </c>
      <c r="L100" s="46" t="n"/>
      <c r="M100" s="46" t="n"/>
      <c r="N100" s="36">
        <f>IFERROR(INDEX(Stage_Type,MATCH(H100,Stage_Names,0)),"")</f>
        <v/>
      </c>
      <c r="O100" s="36">
        <f>IF(OR(H100="",L100=""),"",IF(N100="مفتوح",TODAY()-L100,M100-L100))</f>
        <v/>
      </c>
      <c r="P100" s="36">
        <f>IF(L100="","",TEXT(L100,"YYYY-MM"))</f>
        <v/>
      </c>
      <c r="Q100" s="45" t="n"/>
    </row>
    <row r="101">
      <c r="A101" s="29">
        <f>IF(B101="","",ROW()-2)</f>
        <v/>
      </c>
      <c r="B101" s="43" t="n"/>
      <c r="C101" s="43" t="n"/>
      <c r="D101" s="43" t="n"/>
      <c r="E101" s="43" t="n"/>
      <c r="F101" s="44" t="n"/>
      <c r="G101" s="44" t="n"/>
      <c r="H101" s="44" t="n"/>
      <c r="I101" s="44" t="n"/>
      <c r="J101" s="33">
        <f>IFERROR(INDEX(Stage_Prob,MATCH(H101,Stage_Names,0)),"")</f>
        <v/>
      </c>
      <c r="K101" s="34">
        <f>IF(OR(H101="",I101=""),"",I101*J101)</f>
        <v/>
      </c>
      <c r="L101" s="44" t="n"/>
      <c r="M101" s="44" t="n"/>
      <c r="N101" s="29">
        <f>IFERROR(INDEX(Stage_Type,MATCH(H101,Stage_Names,0)),"")</f>
        <v/>
      </c>
      <c r="O101" s="29">
        <f>IF(OR(H101="",L101=""),"",IF(N101="مفتوح",TODAY()-L101,M101-L101))</f>
        <v/>
      </c>
      <c r="P101" s="29">
        <f>IF(L101="","",TEXT(L101,"YYYY-MM"))</f>
        <v/>
      </c>
      <c r="Q101" s="43" t="n"/>
    </row>
    <row r="102">
      <c r="A102" s="36">
        <f>IF(B102="","",ROW()-2)</f>
        <v/>
      </c>
      <c r="B102" s="45" t="n"/>
      <c r="C102" s="45" t="n"/>
      <c r="D102" s="45" t="n"/>
      <c r="E102" s="45" t="n"/>
      <c r="F102" s="46" t="n"/>
      <c r="G102" s="46" t="n"/>
      <c r="H102" s="46" t="n"/>
      <c r="I102" s="46" t="n"/>
      <c r="J102" s="40">
        <f>IFERROR(INDEX(Stage_Prob,MATCH(H102,Stage_Names,0)),"")</f>
        <v/>
      </c>
      <c r="K102" s="41">
        <f>IF(OR(H102="",I102=""),"",I102*J102)</f>
        <v/>
      </c>
      <c r="L102" s="46" t="n"/>
      <c r="M102" s="46" t="n"/>
      <c r="N102" s="36">
        <f>IFERROR(INDEX(Stage_Type,MATCH(H102,Stage_Names,0)),"")</f>
        <v/>
      </c>
      <c r="O102" s="36">
        <f>IF(OR(H102="",L102=""),"",IF(N102="مفتوح",TODAY()-L102,M102-L102))</f>
        <v/>
      </c>
      <c r="P102" s="36">
        <f>IF(L102="","",TEXT(L102,"YYYY-MM"))</f>
        <v/>
      </c>
      <c r="Q102" s="45" t="n"/>
    </row>
    <row r="103">
      <c r="A103" s="29">
        <f>IF(B103="","",ROW()-2)</f>
        <v/>
      </c>
      <c r="B103" s="43" t="n"/>
      <c r="C103" s="43" t="n"/>
      <c r="D103" s="43" t="n"/>
      <c r="E103" s="43" t="n"/>
      <c r="F103" s="44" t="n"/>
      <c r="G103" s="44" t="n"/>
      <c r="H103" s="44" t="n"/>
      <c r="I103" s="44" t="n"/>
      <c r="J103" s="33">
        <f>IFERROR(INDEX(Stage_Prob,MATCH(H103,Stage_Names,0)),"")</f>
        <v/>
      </c>
      <c r="K103" s="34">
        <f>IF(OR(H103="",I103=""),"",I103*J103)</f>
        <v/>
      </c>
      <c r="L103" s="44" t="n"/>
      <c r="M103" s="44" t="n"/>
      <c r="N103" s="29">
        <f>IFERROR(INDEX(Stage_Type,MATCH(H103,Stage_Names,0)),"")</f>
        <v/>
      </c>
      <c r="O103" s="29">
        <f>IF(OR(H103="",L103=""),"",IF(N103="مفتوح",TODAY()-L103,M103-L103))</f>
        <v/>
      </c>
      <c r="P103" s="29">
        <f>IF(L103="","",TEXT(L103,"YYYY-MM"))</f>
        <v/>
      </c>
      <c r="Q103" s="43" t="n"/>
    </row>
    <row r="104">
      <c r="A104" s="36">
        <f>IF(B104="","",ROW()-2)</f>
        <v/>
      </c>
      <c r="B104" s="45" t="n"/>
      <c r="C104" s="45" t="n"/>
      <c r="D104" s="45" t="n"/>
      <c r="E104" s="45" t="n"/>
      <c r="F104" s="46" t="n"/>
      <c r="G104" s="46" t="n"/>
      <c r="H104" s="46" t="n"/>
      <c r="I104" s="46" t="n"/>
      <c r="J104" s="40">
        <f>IFERROR(INDEX(Stage_Prob,MATCH(H104,Stage_Names,0)),"")</f>
        <v/>
      </c>
      <c r="K104" s="41">
        <f>IF(OR(H104="",I104=""),"",I104*J104)</f>
        <v/>
      </c>
      <c r="L104" s="46" t="n"/>
      <c r="M104" s="46" t="n"/>
      <c r="N104" s="36">
        <f>IFERROR(INDEX(Stage_Type,MATCH(H104,Stage_Names,0)),"")</f>
        <v/>
      </c>
      <c r="O104" s="36">
        <f>IF(OR(H104="",L104=""),"",IF(N104="مفتوح",TODAY()-L104,M104-L104))</f>
        <v/>
      </c>
      <c r="P104" s="36">
        <f>IF(L104="","",TEXT(L104,"YYYY-MM"))</f>
        <v/>
      </c>
      <c r="Q104" s="45" t="n"/>
    </row>
    <row r="105">
      <c r="A105" s="29">
        <f>IF(B105="","",ROW()-2)</f>
        <v/>
      </c>
      <c r="B105" s="43" t="n"/>
      <c r="C105" s="43" t="n"/>
      <c r="D105" s="43" t="n"/>
      <c r="E105" s="43" t="n"/>
      <c r="F105" s="44" t="n"/>
      <c r="G105" s="44" t="n"/>
      <c r="H105" s="44" t="n"/>
      <c r="I105" s="44" t="n"/>
      <c r="J105" s="33">
        <f>IFERROR(INDEX(Stage_Prob,MATCH(H105,Stage_Names,0)),"")</f>
        <v/>
      </c>
      <c r="K105" s="34">
        <f>IF(OR(H105="",I105=""),"",I105*J105)</f>
        <v/>
      </c>
      <c r="L105" s="44" t="n"/>
      <c r="M105" s="44" t="n"/>
      <c r="N105" s="29">
        <f>IFERROR(INDEX(Stage_Type,MATCH(H105,Stage_Names,0)),"")</f>
        <v/>
      </c>
      <c r="O105" s="29">
        <f>IF(OR(H105="",L105=""),"",IF(N105="مفتوح",TODAY()-L105,M105-L105))</f>
        <v/>
      </c>
      <c r="P105" s="29">
        <f>IF(L105="","",TEXT(L105,"YYYY-MM"))</f>
        <v/>
      </c>
      <c r="Q105" s="43" t="n"/>
    </row>
    <row r="106">
      <c r="A106" s="36">
        <f>IF(B106="","",ROW()-2)</f>
        <v/>
      </c>
      <c r="B106" s="45" t="n"/>
      <c r="C106" s="45" t="n"/>
      <c r="D106" s="45" t="n"/>
      <c r="E106" s="45" t="n"/>
      <c r="F106" s="46" t="n"/>
      <c r="G106" s="46" t="n"/>
      <c r="H106" s="46" t="n"/>
      <c r="I106" s="46" t="n"/>
      <c r="J106" s="40">
        <f>IFERROR(INDEX(Stage_Prob,MATCH(H106,Stage_Names,0)),"")</f>
        <v/>
      </c>
      <c r="K106" s="41">
        <f>IF(OR(H106="",I106=""),"",I106*J106)</f>
        <v/>
      </c>
      <c r="L106" s="46" t="n"/>
      <c r="M106" s="46" t="n"/>
      <c r="N106" s="36">
        <f>IFERROR(INDEX(Stage_Type,MATCH(H106,Stage_Names,0)),"")</f>
        <v/>
      </c>
      <c r="O106" s="36">
        <f>IF(OR(H106="",L106=""),"",IF(N106="مفتوح",TODAY()-L106,M106-L106))</f>
        <v/>
      </c>
      <c r="P106" s="36">
        <f>IF(L106="","",TEXT(L106,"YYYY-MM"))</f>
        <v/>
      </c>
      <c r="Q106" s="45" t="n"/>
    </row>
    <row r="107">
      <c r="A107" s="29">
        <f>IF(B107="","",ROW()-2)</f>
        <v/>
      </c>
      <c r="B107" s="43" t="n"/>
      <c r="C107" s="43" t="n"/>
      <c r="D107" s="43" t="n"/>
      <c r="E107" s="43" t="n"/>
      <c r="F107" s="44" t="n"/>
      <c r="G107" s="44" t="n"/>
      <c r="H107" s="44" t="n"/>
      <c r="I107" s="44" t="n"/>
      <c r="J107" s="33">
        <f>IFERROR(INDEX(Stage_Prob,MATCH(H107,Stage_Names,0)),"")</f>
        <v/>
      </c>
      <c r="K107" s="34">
        <f>IF(OR(H107="",I107=""),"",I107*J107)</f>
        <v/>
      </c>
      <c r="L107" s="44" t="n"/>
      <c r="M107" s="44" t="n"/>
      <c r="N107" s="29">
        <f>IFERROR(INDEX(Stage_Type,MATCH(H107,Stage_Names,0)),"")</f>
        <v/>
      </c>
      <c r="O107" s="29">
        <f>IF(OR(H107="",L107=""),"",IF(N107="مفتوح",TODAY()-L107,M107-L107))</f>
        <v/>
      </c>
      <c r="P107" s="29">
        <f>IF(L107="","",TEXT(L107,"YYYY-MM"))</f>
        <v/>
      </c>
      <c r="Q107" s="43" t="n"/>
    </row>
    <row r="108">
      <c r="A108" s="36">
        <f>IF(B108="","",ROW()-2)</f>
        <v/>
      </c>
      <c r="B108" s="45" t="n"/>
      <c r="C108" s="45" t="n"/>
      <c r="D108" s="45" t="n"/>
      <c r="E108" s="45" t="n"/>
      <c r="F108" s="46" t="n"/>
      <c r="G108" s="46" t="n"/>
      <c r="H108" s="46" t="n"/>
      <c r="I108" s="46" t="n"/>
      <c r="J108" s="40">
        <f>IFERROR(INDEX(Stage_Prob,MATCH(H108,Stage_Names,0)),"")</f>
        <v/>
      </c>
      <c r="K108" s="41">
        <f>IF(OR(H108="",I108=""),"",I108*J108)</f>
        <v/>
      </c>
      <c r="L108" s="46" t="n"/>
      <c r="M108" s="46" t="n"/>
      <c r="N108" s="36">
        <f>IFERROR(INDEX(Stage_Type,MATCH(H108,Stage_Names,0)),"")</f>
        <v/>
      </c>
      <c r="O108" s="36">
        <f>IF(OR(H108="",L108=""),"",IF(N108="مفتوح",TODAY()-L108,M108-L108))</f>
        <v/>
      </c>
      <c r="P108" s="36">
        <f>IF(L108="","",TEXT(L108,"YYYY-MM"))</f>
        <v/>
      </c>
      <c r="Q108" s="45" t="n"/>
    </row>
    <row r="109">
      <c r="A109" s="29">
        <f>IF(B109="","",ROW()-2)</f>
        <v/>
      </c>
      <c r="B109" s="43" t="n"/>
      <c r="C109" s="43" t="n"/>
      <c r="D109" s="43" t="n"/>
      <c r="E109" s="43" t="n"/>
      <c r="F109" s="44" t="n"/>
      <c r="G109" s="44" t="n"/>
      <c r="H109" s="44" t="n"/>
      <c r="I109" s="44" t="n"/>
      <c r="J109" s="33">
        <f>IFERROR(INDEX(Stage_Prob,MATCH(H109,Stage_Names,0)),"")</f>
        <v/>
      </c>
      <c r="K109" s="34">
        <f>IF(OR(H109="",I109=""),"",I109*J109)</f>
        <v/>
      </c>
      <c r="L109" s="44" t="n"/>
      <c r="M109" s="44" t="n"/>
      <c r="N109" s="29">
        <f>IFERROR(INDEX(Stage_Type,MATCH(H109,Stage_Names,0)),"")</f>
        <v/>
      </c>
      <c r="O109" s="29">
        <f>IF(OR(H109="",L109=""),"",IF(N109="مفتوح",TODAY()-L109,M109-L109))</f>
        <v/>
      </c>
      <c r="P109" s="29">
        <f>IF(L109="","",TEXT(L109,"YYYY-MM"))</f>
        <v/>
      </c>
      <c r="Q109" s="43" t="n"/>
    </row>
    <row r="110">
      <c r="A110" s="36">
        <f>IF(B110="","",ROW()-2)</f>
        <v/>
      </c>
      <c r="B110" s="45" t="n"/>
      <c r="C110" s="45" t="n"/>
      <c r="D110" s="45" t="n"/>
      <c r="E110" s="45" t="n"/>
      <c r="F110" s="46" t="n"/>
      <c r="G110" s="46" t="n"/>
      <c r="H110" s="46" t="n"/>
      <c r="I110" s="46" t="n"/>
      <c r="J110" s="40">
        <f>IFERROR(INDEX(Stage_Prob,MATCH(H110,Stage_Names,0)),"")</f>
        <v/>
      </c>
      <c r="K110" s="41">
        <f>IF(OR(H110="",I110=""),"",I110*J110)</f>
        <v/>
      </c>
      <c r="L110" s="46" t="n"/>
      <c r="M110" s="46" t="n"/>
      <c r="N110" s="36">
        <f>IFERROR(INDEX(Stage_Type,MATCH(H110,Stage_Names,0)),"")</f>
        <v/>
      </c>
      <c r="O110" s="36">
        <f>IF(OR(H110="",L110=""),"",IF(N110="مفتوح",TODAY()-L110,M110-L110))</f>
        <v/>
      </c>
      <c r="P110" s="36">
        <f>IF(L110="","",TEXT(L110,"YYYY-MM"))</f>
        <v/>
      </c>
      <c r="Q110" s="45" t="n"/>
    </row>
    <row r="111">
      <c r="A111" s="29">
        <f>IF(B111="","",ROW()-2)</f>
        <v/>
      </c>
      <c r="B111" s="43" t="n"/>
      <c r="C111" s="43" t="n"/>
      <c r="D111" s="43" t="n"/>
      <c r="E111" s="43" t="n"/>
      <c r="F111" s="44" t="n"/>
      <c r="G111" s="44" t="n"/>
      <c r="H111" s="44" t="n"/>
      <c r="I111" s="44" t="n"/>
      <c r="J111" s="33">
        <f>IFERROR(INDEX(Stage_Prob,MATCH(H111,Stage_Names,0)),"")</f>
        <v/>
      </c>
      <c r="K111" s="34">
        <f>IF(OR(H111="",I111=""),"",I111*J111)</f>
        <v/>
      </c>
      <c r="L111" s="44" t="n"/>
      <c r="M111" s="44" t="n"/>
      <c r="N111" s="29">
        <f>IFERROR(INDEX(Stage_Type,MATCH(H111,Stage_Names,0)),"")</f>
        <v/>
      </c>
      <c r="O111" s="29">
        <f>IF(OR(H111="",L111=""),"",IF(N111="مفتوح",TODAY()-L111,M111-L111))</f>
        <v/>
      </c>
      <c r="P111" s="29">
        <f>IF(L111="","",TEXT(L111,"YYYY-MM"))</f>
        <v/>
      </c>
      <c r="Q111" s="43" t="n"/>
    </row>
    <row r="112">
      <c r="A112" s="36">
        <f>IF(B112="","",ROW()-2)</f>
        <v/>
      </c>
      <c r="B112" s="45" t="n"/>
      <c r="C112" s="45" t="n"/>
      <c r="D112" s="45" t="n"/>
      <c r="E112" s="45" t="n"/>
      <c r="F112" s="46" t="n"/>
      <c r="G112" s="46" t="n"/>
      <c r="H112" s="46" t="n"/>
      <c r="I112" s="46" t="n"/>
      <c r="J112" s="40">
        <f>IFERROR(INDEX(Stage_Prob,MATCH(H112,Stage_Names,0)),"")</f>
        <v/>
      </c>
      <c r="K112" s="41">
        <f>IF(OR(H112="",I112=""),"",I112*J112)</f>
        <v/>
      </c>
      <c r="L112" s="46" t="n"/>
      <c r="M112" s="46" t="n"/>
      <c r="N112" s="36">
        <f>IFERROR(INDEX(Stage_Type,MATCH(H112,Stage_Names,0)),"")</f>
        <v/>
      </c>
      <c r="O112" s="36">
        <f>IF(OR(H112="",L112=""),"",IF(N112="مفتوح",TODAY()-L112,M112-L112))</f>
        <v/>
      </c>
      <c r="P112" s="36">
        <f>IF(L112="","",TEXT(L112,"YYYY-MM"))</f>
        <v/>
      </c>
      <c r="Q112" s="45" t="n"/>
    </row>
    <row r="113">
      <c r="A113" s="29">
        <f>IF(B113="","",ROW()-2)</f>
        <v/>
      </c>
      <c r="B113" s="43" t="n"/>
      <c r="C113" s="43" t="n"/>
      <c r="D113" s="43" t="n"/>
      <c r="E113" s="43" t="n"/>
      <c r="F113" s="44" t="n"/>
      <c r="G113" s="44" t="n"/>
      <c r="H113" s="44" t="n"/>
      <c r="I113" s="44" t="n"/>
      <c r="J113" s="33">
        <f>IFERROR(INDEX(Stage_Prob,MATCH(H113,Stage_Names,0)),"")</f>
        <v/>
      </c>
      <c r="K113" s="34">
        <f>IF(OR(H113="",I113=""),"",I113*J113)</f>
        <v/>
      </c>
      <c r="L113" s="44" t="n"/>
      <c r="M113" s="44" t="n"/>
      <c r="N113" s="29">
        <f>IFERROR(INDEX(Stage_Type,MATCH(H113,Stage_Names,0)),"")</f>
        <v/>
      </c>
      <c r="O113" s="29">
        <f>IF(OR(H113="",L113=""),"",IF(N113="مفتوح",TODAY()-L113,M113-L113))</f>
        <v/>
      </c>
      <c r="P113" s="29">
        <f>IF(L113="","",TEXT(L113,"YYYY-MM"))</f>
        <v/>
      </c>
      <c r="Q113" s="43" t="n"/>
    </row>
    <row r="114">
      <c r="A114" s="36">
        <f>IF(B114="","",ROW()-2)</f>
        <v/>
      </c>
      <c r="B114" s="45" t="n"/>
      <c r="C114" s="45" t="n"/>
      <c r="D114" s="45" t="n"/>
      <c r="E114" s="45" t="n"/>
      <c r="F114" s="46" t="n"/>
      <c r="G114" s="46" t="n"/>
      <c r="H114" s="46" t="n"/>
      <c r="I114" s="46" t="n"/>
      <c r="J114" s="40">
        <f>IFERROR(INDEX(Stage_Prob,MATCH(H114,Stage_Names,0)),"")</f>
        <v/>
      </c>
      <c r="K114" s="41">
        <f>IF(OR(H114="",I114=""),"",I114*J114)</f>
        <v/>
      </c>
      <c r="L114" s="46" t="n"/>
      <c r="M114" s="46" t="n"/>
      <c r="N114" s="36">
        <f>IFERROR(INDEX(Stage_Type,MATCH(H114,Stage_Names,0)),"")</f>
        <v/>
      </c>
      <c r="O114" s="36">
        <f>IF(OR(H114="",L114=""),"",IF(N114="مفتوح",TODAY()-L114,M114-L114))</f>
        <v/>
      </c>
      <c r="P114" s="36">
        <f>IF(L114="","",TEXT(L114,"YYYY-MM"))</f>
        <v/>
      </c>
      <c r="Q114" s="45" t="n"/>
    </row>
    <row r="115">
      <c r="A115" s="29">
        <f>IF(B115="","",ROW()-2)</f>
        <v/>
      </c>
      <c r="B115" s="43" t="n"/>
      <c r="C115" s="43" t="n"/>
      <c r="D115" s="43" t="n"/>
      <c r="E115" s="43" t="n"/>
      <c r="F115" s="44" t="n"/>
      <c r="G115" s="44" t="n"/>
      <c r="H115" s="44" t="n"/>
      <c r="I115" s="44" t="n"/>
      <c r="J115" s="33">
        <f>IFERROR(INDEX(Stage_Prob,MATCH(H115,Stage_Names,0)),"")</f>
        <v/>
      </c>
      <c r="K115" s="34">
        <f>IF(OR(H115="",I115=""),"",I115*J115)</f>
        <v/>
      </c>
      <c r="L115" s="44" t="n"/>
      <c r="M115" s="44" t="n"/>
      <c r="N115" s="29">
        <f>IFERROR(INDEX(Stage_Type,MATCH(H115,Stage_Names,0)),"")</f>
        <v/>
      </c>
      <c r="O115" s="29">
        <f>IF(OR(H115="",L115=""),"",IF(N115="مفتوح",TODAY()-L115,M115-L115))</f>
        <v/>
      </c>
      <c r="P115" s="29">
        <f>IF(L115="","",TEXT(L115,"YYYY-MM"))</f>
        <v/>
      </c>
      <c r="Q115" s="43" t="n"/>
    </row>
    <row r="116">
      <c r="A116" s="36">
        <f>IF(B116="","",ROW()-2)</f>
        <v/>
      </c>
      <c r="B116" s="45" t="n"/>
      <c r="C116" s="45" t="n"/>
      <c r="D116" s="45" t="n"/>
      <c r="E116" s="45" t="n"/>
      <c r="F116" s="46" t="n"/>
      <c r="G116" s="46" t="n"/>
      <c r="H116" s="46" t="n"/>
      <c r="I116" s="46" t="n"/>
      <c r="J116" s="40">
        <f>IFERROR(INDEX(Stage_Prob,MATCH(H116,Stage_Names,0)),"")</f>
        <v/>
      </c>
      <c r="K116" s="41">
        <f>IF(OR(H116="",I116=""),"",I116*J116)</f>
        <v/>
      </c>
      <c r="L116" s="46" t="n"/>
      <c r="M116" s="46" t="n"/>
      <c r="N116" s="36">
        <f>IFERROR(INDEX(Stage_Type,MATCH(H116,Stage_Names,0)),"")</f>
        <v/>
      </c>
      <c r="O116" s="36">
        <f>IF(OR(H116="",L116=""),"",IF(N116="مفتوح",TODAY()-L116,M116-L116))</f>
        <v/>
      </c>
      <c r="P116" s="36">
        <f>IF(L116="","",TEXT(L116,"YYYY-MM"))</f>
        <v/>
      </c>
      <c r="Q116" s="45" t="n"/>
    </row>
    <row r="117">
      <c r="A117" s="29">
        <f>IF(B117="","",ROW()-2)</f>
        <v/>
      </c>
      <c r="B117" s="43" t="n"/>
      <c r="C117" s="43" t="n"/>
      <c r="D117" s="43" t="n"/>
      <c r="E117" s="43" t="n"/>
      <c r="F117" s="44" t="n"/>
      <c r="G117" s="44" t="n"/>
      <c r="H117" s="44" t="n"/>
      <c r="I117" s="44" t="n"/>
      <c r="J117" s="33">
        <f>IFERROR(INDEX(Stage_Prob,MATCH(H117,Stage_Names,0)),"")</f>
        <v/>
      </c>
      <c r="K117" s="34">
        <f>IF(OR(H117="",I117=""),"",I117*J117)</f>
        <v/>
      </c>
      <c r="L117" s="44" t="n"/>
      <c r="M117" s="44" t="n"/>
      <c r="N117" s="29">
        <f>IFERROR(INDEX(Stage_Type,MATCH(H117,Stage_Names,0)),"")</f>
        <v/>
      </c>
      <c r="O117" s="29">
        <f>IF(OR(H117="",L117=""),"",IF(N117="مفتوح",TODAY()-L117,M117-L117))</f>
        <v/>
      </c>
      <c r="P117" s="29">
        <f>IF(L117="","",TEXT(L117,"YYYY-MM"))</f>
        <v/>
      </c>
      <c r="Q117" s="43" t="n"/>
    </row>
    <row r="118">
      <c r="A118" s="36">
        <f>IF(B118="","",ROW()-2)</f>
        <v/>
      </c>
      <c r="B118" s="45" t="n"/>
      <c r="C118" s="45" t="n"/>
      <c r="D118" s="45" t="n"/>
      <c r="E118" s="45" t="n"/>
      <c r="F118" s="46" t="n"/>
      <c r="G118" s="46" t="n"/>
      <c r="H118" s="46" t="n"/>
      <c r="I118" s="46" t="n"/>
      <c r="J118" s="40">
        <f>IFERROR(INDEX(Stage_Prob,MATCH(H118,Stage_Names,0)),"")</f>
        <v/>
      </c>
      <c r="K118" s="41">
        <f>IF(OR(H118="",I118=""),"",I118*J118)</f>
        <v/>
      </c>
      <c r="L118" s="46" t="n"/>
      <c r="M118" s="46" t="n"/>
      <c r="N118" s="36">
        <f>IFERROR(INDEX(Stage_Type,MATCH(H118,Stage_Names,0)),"")</f>
        <v/>
      </c>
      <c r="O118" s="36">
        <f>IF(OR(H118="",L118=""),"",IF(N118="مفتوح",TODAY()-L118,M118-L118))</f>
        <v/>
      </c>
      <c r="P118" s="36">
        <f>IF(L118="","",TEXT(L118,"YYYY-MM"))</f>
        <v/>
      </c>
      <c r="Q118" s="45" t="n"/>
    </row>
    <row r="119">
      <c r="A119" s="29">
        <f>IF(B119="","",ROW()-2)</f>
        <v/>
      </c>
      <c r="B119" s="43" t="n"/>
      <c r="C119" s="43" t="n"/>
      <c r="D119" s="43" t="n"/>
      <c r="E119" s="43" t="n"/>
      <c r="F119" s="44" t="n"/>
      <c r="G119" s="44" t="n"/>
      <c r="H119" s="44" t="n"/>
      <c r="I119" s="44" t="n"/>
      <c r="J119" s="33">
        <f>IFERROR(INDEX(Stage_Prob,MATCH(H119,Stage_Names,0)),"")</f>
        <v/>
      </c>
      <c r="K119" s="34">
        <f>IF(OR(H119="",I119=""),"",I119*J119)</f>
        <v/>
      </c>
      <c r="L119" s="44" t="n"/>
      <c r="M119" s="44" t="n"/>
      <c r="N119" s="29">
        <f>IFERROR(INDEX(Stage_Type,MATCH(H119,Stage_Names,0)),"")</f>
        <v/>
      </c>
      <c r="O119" s="29">
        <f>IF(OR(H119="",L119=""),"",IF(N119="مفتوح",TODAY()-L119,M119-L119))</f>
        <v/>
      </c>
      <c r="P119" s="29">
        <f>IF(L119="","",TEXT(L119,"YYYY-MM"))</f>
        <v/>
      </c>
      <c r="Q119" s="43" t="n"/>
    </row>
    <row r="120">
      <c r="A120" s="36">
        <f>IF(B120="","",ROW()-2)</f>
        <v/>
      </c>
      <c r="B120" s="45" t="n"/>
      <c r="C120" s="45" t="n"/>
      <c r="D120" s="45" t="n"/>
      <c r="E120" s="45" t="n"/>
      <c r="F120" s="46" t="n"/>
      <c r="G120" s="46" t="n"/>
      <c r="H120" s="46" t="n"/>
      <c r="I120" s="46" t="n"/>
      <c r="J120" s="40">
        <f>IFERROR(INDEX(Stage_Prob,MATCH(H120,Stage_Names,0)),"")</f>
        <v/>
      </c>
      <c r="K120" s="41">
        <f>IF(OR(H120="",I120=""),"",I120*J120)</f>
        <v/>
      </c>
      <c r="L120" s="46" t="n"/>
      <c r="M120" s="46" t="n"/>
      <c r="N120" s="36">
        <f>IFERROR(INDEX(Stage_Type,MATCH(H120,Stage_Names,0)),"")</f>
        <v/>
      </c>
      <c r="O120" s="36">
        <f>IF(OR(H120="",L120=""),"",IF(N120="مفتوح",TODAY()-L120,M120-L120))</f>
        <v/>
      </c>
      <c r="P120" s="36">
        <f>IF(L120="","",TEXT(L120,"YYYY-MM"))</f>
        <v/>
      </c>
      <c r="Q120" s="45" t="n"/>
    </row>
    <row r="121">
      <c r="A121" s="29">
        <f>IF(B121="","",ROW()-2)</f>
        <v/>
      </c>
      <c r="B121" s="43" t="n"/>
      <c r="C121" s="43" t="n"/>
      <c r="D121" s="43" t="n"/>
      <c r="E121" s="43" t="n"/>
      <c r="F121" s="44" t="n"/>
      <c r="G121" s="44" t="n"/>
      <c r="H121" s="44" t="n"/>
      <c r="I121" s="44" t="n"/>
      <c r="J121" s="33">
        <f>IFERROR(INDEX(Stage_Prob,MATCH(H121,Stage_Names,0)),"")</f>
        <v/>
      </c>
      <c r="K121" s="34">
        <f>IF(OR(H121="",I121=""),"",I121*J121)</f>
        <v/>
      </c>
      <c r="L121" s="44" t="n"/>
      <c r="M121" s="44" t="n"/>
      <c r="N121" s="29">
        <f>IFERROR(INDEX(Stage_Type,MATCH(H121,Stage_Names,0)),"")</f>
        <v/>
      </c>
      <c r="O121" s="29">
        <f>IF(OR(H121="",L121=""),"",IF(N121="مفتوح",TODAY()-L121,M121-L121))</f>
        <v/>
      </c>
      <c r="P121" s="29">
        <f>IF(L121="","",TEXT(L121,"YYYY-MM"))</f>
        <v/>
      </c>
      <c r="Q121" s="43" t="n"/>
    </row>
    <row r="122">
      <c r="A122" s="36">
        <f>IF(B122="","",ROW()-2)</f>
        <v/>
      </c>
      <c r="B122" s="45" t="n"/>
      <c r="C122" s="45" t="n"/>
      <c r="D122" s="45" t="n"/>
      <c r="E122" s="45" t="n"/>
      <c r="F122" s="46" t="n"/>
      <c r="G122" s="46" t="n"/>
      <c r="H122" s="46" t="n"/>
      <c r="I122" s="46" t="n"/>
      <c r="J122" s="40">
        <f>IFERROR(INDEX(Stage_Prob,MATCH(H122,Stage_Names,0)),"")</f>
        <v/>
      </c>
      <c r="K122" s="41">
        <f>IF(OR(H122="",I122=""),"",I122*J122)</f>
        <v/>
      </c>
      <c r="L122" s="46" t="n"/>
      <c r="M122" s="46" t="n"/>
      <c r="N122" s="36">
        <f>IFERROR(INDEX(Stage_Type,MATCH(H122,Stage_Names,0)),"")</f>
        <v/>
      </c>
      <c r="O122" s="36">
        <f>IF(OR(H122="",L122=""),"",IF(N122="مفتوح",TODAY()-L122,M122-L122))</f>
        <v/>
      </c>
      <c r="P122" s="36">
        <f>IF(L122="","",TEXT(L122,"YYYY-MM"))</f>
        <v/>
      </c>
      <c r="Q122" s="45" t="n"/>
    </row>
    <row r="123">
      <c r="A123" s="29">
        <f>IF(B123="","",ROW()-2)</f>
        <v/>
      </c>
      <c r="B123" s="43" t="n"/>
      <c r="C123" s="43" t="n"/>
      <c r="D123" s="43" t="n"/>
      <c r="E123" s="43" t="n"/>
      <c r="F123" s="44" t="n"/>
      <c r="G123" s="44" t="n"/>
      <c r="H123" s="44" t="n"/>
      <c r="I123" s="44" t="n"/>
      <c r="J123" s="33">
        <f>IFERROR(INDEX(Stage_Prob,MATCH(H123,Stage_Names,0)),"")</f>
        <v/>
      </c>
      <c r="K123" s="34">
        <f>IF(OR(H123="",I123=""),"",I123*J123)</f>
        <v/>
      </c>
      <c r="L123" s="44" t="n"/>
      <c r="M123" s="44" t="n"/>
      <c r="N123" s="29">
        <f>IFERROR(INDEX(Stage_Type,MATCH(H123,Stage_Names,0)),"")</f>
        <v/>
      </c>
      <c r="O123" s="29">
        <f>IF(OR(H123="",L123=""),"",IF(N123="مفتوح",TODAY()-L123,M123-L123))</f>
        <v/>
      </c>
      <c r="P123" s="29">
        <f>IF(L123="","",TEXT(L123,"YYYY-MM"))</f>
        <v/>
      </c>
      <c r="Q123" s="43" t="n"/>
    </row>
    <row r="124">
      <c r="A124" s="36">
        <f>IF(B124="","",ROW()-2)</f>
        <v/>
      </c>
      <c r="B124" s="45" t="n"/>
      <c r="C124" s="45" t="n"/>
      <c r="D124" s="45" t="n"/>
      <c r="E124" s="45" t="n"/>
      <c r="F124" s="46" t="n"/>
      <c r="G124" s="46" t="n"/>
      <c r="H124" s="46" t="n"/>
      <c r="I124" s="46" t="n"/>
      <c r="J124" s="40">
        <f>IFERROR(INDEX(Stage_Prob,MATCH(H124,Stage_Names,0)),"")</f>
        <v/>
      </c>
      <c r="K124" s="41">
        <f>IF(OR(H124="",I124=""),"",I124*J124)</f>
        <v/>
      </c>
      <c r="L124" s="46" t="n"/>
      <c r="M124" s="46" t="n"/>
      <c r="N124" s="36">
        <f>IFERROR(INDEX(Stage_Type,MATCH(H124,Stage_Names,0)),"")</f>
        <v/>
      </c>
      <c r="O124" s="36">
        <f>IF(OR(H124="",L124=""),"",IF(N124="مفتوح",TODAY()-L124,M124-L124))</f>
        <v/>
      </c>
      <c r="P124" s="36">
        <f>IF(L124="","",TEXT(L124,"YYYY-MM"))</f>
        <v/>
      </c>
      <c r="Q124" s="45" t="n"/>
    </row>
    <row r="125">
      <c r="A125" s="29">
        <f>IF(B125="","",ROW()-2)</f>
        <v/>
      </c>
      <c r="B125" s="43" t="n"/>
      <c r="C125" s="43" t="n"/>
      <c r="D125" s="43" t="n"/>
      <c r="E125" s="43" t="n"/>
      <c r="F125" s="44" t="n"/>
      <c r="G125" s="44" t="n"/>
      <c r="H125" s="44" t="n"/>
      <c r="I125" s="44" t="n"/>
      <c r="J125" s="33">
        <f>IFERROR(INDEX(Stage_Prob,MATCH(H125,Stage_Names,0)),"")</f>
        <v/>
      </c>
      <c r="K125" s="34">
        <f>IF(OR(H125="",I125=""),"",I125*J125)</f>
        <v/>
      </c>
      <c r="L125" s="44" t="n"/>
      <c r="M125" s="44" t="n"/>
      <c r="N125" s="29">
        <f>IFERROR(INDEX(Stage_Type,MATCH(H125,Stage_Names,0)),"")</f>
        <v/>
      </c>
      <c r="O125" s="29">
        <f>IF(OR(H125="",L125=""),"",IF(N125="مفتوح",TODAY()-L125,M125-L125))</f>
        <v/>
      </c>
      <c r="P125" s="29">
        <f>IF(L125="","",TEXT(L125,"YYYY-MM"))</f>
        <v/>
      </c>
      <c r="Q125" s="43" t="n"/>
    </row>
    <row r="126">
      <c r="A126" s="36">
        <f>IF(B126="","",ROW()-2)</f>
        <v/>
      </c>
      <c r="B126" s="45" t="n"/>
      <c r="C126" s="45" t="n"/>
      <c r="D126" s="45" t="n"/>
      <c r="E126" s="45" t="n"/>
      <c r="F126" s="46" t="n"/>
      <c r="G126" s="46" t="n"/>
      <c r="H126" s="46" t="n"/>
      <c r="I126" s="46" t="n"/>
      <c r="J126" s="40">
        <f>IFERROR(INDEX(Stage_Prob,MATCH(H126,Stage_Names,0)),"")</f>
        <v/>
      </c>
      <c r="K126" s="41">
        <f>IF(OR(H126="",I126=""),"",I126*J126)</f>
        <v/>
      </c>
      <c r="L126" s="46" t="n"/>
      <c r="M126" s="46" t="n"/>
      <c r="N126" s="36">
        <f>IFERROR(INDEX(Stage_Type,MATCH(H126,Stage_Names,0)),"")</f>
        <v/>
      </c>
      <c r="O126" s="36">
        <f>IF(OR(H126="",L126=""),"",IF(N126="مفتوح",TODAY()-L126,M126-L126))</f>
        <v/>
      </c>
      <c r="P126" s="36">
        <f>IF(L126="","",TEXT(L126,"YYYY-MM"))</f>
        <v/>
      </c>
      <c r="Q126" s="45" t="n"/>
    </row>
    <row r="127">
      <c r="A127" s="29">
        <f>IF(B127="","",ROW()-2)</f>
        <v/>
      </c>
      <c r="B127" s="43" t="n"/>
      <c r="C127" s="43" t="n"/>
      <c r="D127" s="43" t="n"/>
      <c r="E127" s="43" t="n"/>
      <c r="F127" s="44" t="n"/>
      <c r="G127" s="44" t="n"/>
      <c r="H127" s="44" t="n"/>
      <c r="I127" s="44" t="n"/>
      <c r="J127" s="33">
        <f>IFERROR(INDEX(Stage_Prob,MATCH(H127,Stage_Names,0)),"")</f>
        <v/>
      </c>
      <c r="K127" s="34">
        <f>IF(OR(H127="",I127=""),"",I127*J127)</f>
        <v/>
      </c>
      <c r="L127" s="44" t="n"/>
      <c r="M127" s="44" t="n"/>
      <c r="N127" s="29">
        <f>IFERROR(INDEX(Stage_Type,MATCH(H127,Stage_Names,0)),"")</f>
        <v/>
      </c>
      <c r="O127" s="29">
        <f>IF(OR(H127="",L127=""),"",IF(N127="مفتوح",TODAY()-L127,M127-L127))</f>
        <v/>
      </c>
      <c r="P127" s="29">
        <f>IF(L127="","",TEXT(L127,"YYYY-MM"))</f>
        <v/>
      </c>
      <c r="Q127" s="43" t="n"/>
    </row>
    <row r="128">
      <c r="A128" s="36">
        <f>IF(B128="","",ROW()-2)</f>
        <v/>
      </c>
      <c r="B128" s="45" t="n"/>
      <c r="C128" s="45" t="n"/>
      <c r="D128" s="45" t="n"/>
      <c r="E128" s="45" t="n"/>
      <c r="F128" s="46" t="n"/>
      <c r="G128" s="46" t="n"/>
      <c r="H128" s="46" t="n"/>
      <c r="I128" s="46" t="n"/>
      <c r="J128" s="40">
        <f>IFERROR(INDEX(Stage_Prob,MATCH(H128,Stage_Names,0)),"")</f>
        <v/>
      </c>
      <c r="K128" s="41">
        <f>IF(OR(H128="",I128=""),"",I128*J128)</f>
        <v/>
      </c>
      <c r="L128" s="46" t="n"/>
      <c r="M128" s="46" t="n"/>
      <c r="N128" s="36">
        <f>IFERROR(INDEX(Stage_Type,MATCH(H128,Stage_Names,0)),"")</f>
        <v/>
      </c>
      <c r="O128" s="36">
        <f>IF(OR(H128="",L128=""),"",IF(N128="مفتوح",TODAY()-L128,M128-L128))</f>
        <v/>
      </c>
      <c r="P128" s="36">
        <f>IF(L128="","",TEXT(L128,"YYYY-MM"))</f>
        <v/>
      </c>
      <c r="Q128" s="45" t="n"/>
    </row>
    <row r="129">
      <c r="A129" s="29">
        <f>IF(B129="","",ROW()-2)</f>
        <v/>
      </c>
      <c r="B129" s="43" t="n"/>
      <c r="C129" s="43" t="n"/>
      <c r="D129" s="43" t="n"/>
      <c r="E129" s="43" t="n"/>
      <c r="F129" s="44" t="n"/>
      <c r="G129" s="44" t="n"/>
      <c r="H129" s="44" t="n"/>
      <c r="I129" s="44" t="n"/>
      <c r="J129" s="33">
        <f>IFERROR(INDEX(Stage_Prob,MATCH(H129,Stage_Names,0)),"")</f>
        <v/>
      </c>
      <c r="K129" s="34">
        <f>IF(OR(H129="",I129=""),"",I129*J129)</f>
        <v/>
      </c>
      <c r="L129" s="44" t="n"/>
      <c r="M129" s="44" t="n"/>
      <c r="N129" s="29">
        <f>IFERROR(INDEX(Stage_Type,MATCH(H129,Stage_Names,0)),"")</f>
        <v/>
      </c>
      <c r="O129" s="29">
        <f>IF(OR(H129="",L129=""),"",IF(N129="مفتوح",TODAY()-L129,M129-L129))</f>
        <v/>
      </c>
      <c r="P129" s="29">
        <f>IF(L129="","",TEXT(L129,"YYYY-MM"))</f>
        <v/>
      </c>
      <c r="Q129" s="43" t="n"/>
    </row>
    <row r="130">
      <c r="A130" s="36">
        <f>IF(B130="","",ROW()-2)</f>
        <v/>
      </c>
      <c r="B130" s="45" t="n"/>
      <c r="C130" s="45" t="n"/>
      <c r="D130" s="45" t="n"/>
      <c r="E130" s="45" t="n"/>
      <c r="F130" s="46" t="n"/>
      <c r="G130" s="46" t="n"/>
      <c r="H130" s="46" t="n"/>
      <c r="I130" s="46" t="n"/>
      <c r="J130" s="40">
        <f>IFERROR(INDEX(Stage_Prob,MATCH(H130,Stage_Names,0)),"")</f>
        <v/>
      </c>
      <c r="K130" s="41">
        <f>IF(OR(H130="",I130=""),"",I130*J130)</f>
        <v/>
      </c>
      <c r="L130" s="46" t="n"/>
      <c r="M130" s="46" t="n"/>
      <c r="N130" s="36">
        <f>IFERROR(INDEX(Stage_Type,MATCH(H130,Stage_Names,0)),"")</f>
        <v/>
      </c>
      <c r="O130" s="36">
        <f>IF(OR(H130="",L130=""),"",IF(N130="مفتوح",TODAY()-L130,M130-L130))</f>
        <v/>
      </c>
      <c r="P130" s="36">
        <f>IF(L130="","",TEXT(L130,"YYYY-MM"))</f>
        <v/>
      </c>
      <c r="Q130" s="45" t="n"/>
    </row>
    <row r="131">
      <c r="A131" s="29">
        <f>IF(B131="","",ROW()-2)</f>
        <v/>
      </c>
      <c r="B131" s="43" t="n"/>
      <c r="C131" s="43" t="n"/>
      <c r="D131" s="43" t="n"/>
      <c r="E131" s="43" t="n"/>
      <c r="F131" s="44" t="n"/>
      <c r="G131" s="44" t="n"/>
      <c r="H131" s="44" t="n"/>
      <c r="I131" s="44" t="n"/>
      <c r="J131" s="33">
        <f>IFERROR(INDEX(Stage_Prob,MATCH(H131,Stage_Names,0)),"")</f>
        <v/>
      </c>
      <c r="K131" s="34">
        <f>IF(OR(H131="",I131=""),"",I131*J131)</f>
        <v/>
      </c>
      <c r="L131" s="44" t="n"/>
      <c r="M131" s="44" t="n"/>
      <c r="N131" s="29">
        <f>IFERROR(INDEX(Stage_Type,MATCH(H131,Stage_Names,0)),"")</f>
        <v/>
      </c>
      <c r="O131" s="29">
        <f>IF(OR(H131="",L131=""),"",IF(N131="مفتوح",TODAY()-L131,M131-L131))</f>
        <v/>
      </c>
      <c r="P131" s="29">
        <f>IF(L131="","",TEXT(L131,"YYYY-MM"))</f>
        <v/>
      </c>
      <c r="Q131" s="43" t="n"/>
    </row>
    <row r="132">
      <c r="A132" s="36">
        <f>IF(B132="","",ROW()-2)</f>
        <v/>
      </c>
      <c r="B132" s="45" t="n"/>
      <c r="C132" s="45" t="n"/>
      <c r="D132" s="45" t="n"/>
      <c r="E132" s="45" t="n"/>
      <c r="F132" s="46" t="n"/>
      <c r="G132" s="46" t="n"/>
      <c r="H132" s="46" t="n"/>
      <c r="I132" s="46" t="n"/>
      <c r="J132" s="40">
        <f>IFERROR(INDEX(Stage_Prob,MATCH(H132,Stage_Names,0)),"")</f>
        <v/>
      </c>
      <c r="K132" s="41">
        <f>IF(OR(H132="",I132=""),"",I132*J132)</f>
        <v/>
      </c>
      <c r="L132" s="46" t="n"/>
      <c r="M132" s="46" t="n"/>
      <c r="N132" s="36">
        <f>IFERROR(INDEX(Stage_Type,MATCH(H132,Stage_Names,0)),"")</f>
        <v/>
      </c>
      <c r="O132" s="36">
        <f>IF(OR(H132="",L132=""),"",IF(N132="مفتوح",TODAY()-L132,M132-L132))</f>
        <v/>
      </c>
      <c r="P132" s="36">
        <f>IF(L132="","",TEXT(L132,"YYYY-MM"))</f>
        <v/>
      </c>
      <c r="Q132" s="45" t="n"/>
    </row>
    <row r="133">
      <c r="A133" s="29">
        <f>IF(B133="","",ROW()-2)</f>
        <v/>
      </c>
      <c r="B133" s="43" t="n"/>
      <c r="C133" s="43" t="n"/>
      <c r="D133" s="43" t="n"/>
      <c r="E133" s="43" t="n"/>
      <c r="F133" s="44" t="n"/>
      <c r="G133" s="44" t="n"/>
      <c r="H133" s="44" t="n"/>
      <c r="I133" s="44" t="n"/>
      <c r="J133" s="33">
        <f>IFERROR(INDEX(Stage_Prob,MATCH(H133,Stage_Names,0)),"")</f>
        <v/>
      </c>
      <c r="K133" s="34">
        <f>IF(OR(H133="",I133=""),"",I133*J133)</f>
        <v/>
      </c>
      <c r="L133" s="44" t="n"/>
      <c r="M133" s="44" t="n"/>
      <c r="N133" s="29">
        <f>IFERROR(INDEX(Stage_Type,MATCH(H133,Stage_Names,0)),"")</f>
        <v/>
      </c>
      <c r="O133" s="29">
        <f>IF(OR(H133="",L133=""),"",IF(N133="مفتوح",TODAY()-L133,M133-L133))</f>
        <v/>
      </c>
      <c r="P133" s="29">
        <f>IF(L133="","",TEXT(L133,"YYYY-MM"))</f>
        <v/>
      </c>
      <c r="Q133" s="43" t="n"/>
    </row>
    <row r="134">
      <c r="A134" s="36">
        <f>IF(B134="","",ROW()-2)</f>
        <v/>
      </c>
      <c r="B134" s="45" t="n"/>
      <c r="C134" s="45" t="n"/>
      <c r="D134" s="45" t="n"/>
      <c r="E134" s="45" t="n"/>
      <c r="F134" s="46" t="n"/>
      <c r="G134" s="46" t="n"/>
      <c r="H134" s="46" t="n"/>
      <c r="I134" s="46" t="n"/>
      <c r="J134" s="40">
        <f>IFERROR(INDEX(Stage_Prob,MATCH(H134,Stage_Names,0)),"")</f>
        <v/>
      </c>
      <c r="K134" s="41">
        <f>IF(OR(H134="",I134=""),"",I134*J134)</f>
        <v/>
      </c>
      <c r="L134" s="46" t="n"/>
      <c r="M134" s="46" t="n"/>
      <c r="N134" s="36">
        <f>IFERROR(INDEX(Stage_Type,MATCH(H134,Stage_Names,0)),"")</f>
        <v/>
      </c>
      <c r="O134" s="36">
        <f>IF(OR(H134="",L134=""),"",IF(N134="مفتوح",TODAY()-L134,M134-L134))</f>
        <v/>
      </c>
      <c r="P134" s="36">
        <f>IF(L134="","",TEXT(L134,"YYYY-MM"))</f>
        <v/>
      </c>
      <c r="Q134" s="45" t="n"/>
    </row>
    <row r="135">
      <c r="A135" s="29">
        <f>IF(B135="","",ROW()-2)</f>
        <v/>
      </c>
      <c r="B135" s="43" t="n"/>
      <c r="C135" s="43" t="n"/>
      <c r="D135" s="43" t="n"/>
      <c r="E135" s="43" t="n"/>
      <c r="F135" s="44" t="n"/>
      <c r="G135" s="44" t="n"/>
      <c r="H135" s="44" t="n"/>
      <c r="I135" s="44" t="n"/>
      <c r="J135" s="33">
        <f>IFERROR(INDEX(Stage_Prob,MATCH(H135,Stage_Names,0)),"")</f>
        <v/>
      </c>
      <c r="K135" s="34">
        <f>IF(OR(H135="",I135=""),"",I135*J135)</f>
        <v/>
      </c>
      <c r="L135" s="44" t="n"/>
      <c r="M135" s="44" t="n"/>
      <c r="N135" s="29">
        <f>IFERROR(INDEX(Stage_Type,MATCH(H135,Stage_Names,0)),"")</f>
        <v/>
      </c>
      <c r="O135" s="29">
        <f>IF(OR(H135="",L135=""),"",IF(N135="مفتوح",TODAY()-L135,M135-L135))</f>
        <v/>
      </c>
      <c r="P135" s="29">
        <f>IF(L135="","",TEXT(L135,"YYYY-MM"))</f>
        <v/>
      </c>
      <c r="Q135" s="43" t="n"/>
    </row>
    <row r="136">
      <c r="A136" s="36">
        <f>IF(B136="","",ROW()-2)</f>
        <v/>
      </c>
      <c r="B136" s="45" t="n"/>
      <c r="C136" s="45" t="n"/>
      <c r="D136" s="45" t="n"/>
      <c r="E136" s="45" t="n"/>
      <c r="F136" s="46" t="n"/>
      <c r="G136" s="46" t="n"/>
      <c r="H136" s="46" t="n"/>
      <c r="I136" s="46" t="n"/>
      <c r="J136" s="40">
        <f>IFERROR(INDEX(Stage_Prob,MATCH(H136,Stage_Names,0)),"")</f>
        <v/>
      </c>
      <c r="K136" s="41">
        <f>IF(OR(H136="",I136=""),"",I136*J136)</f>
        <v/>
      </c>
      <c r="L136" s="46" t="n"/>
      <c r="M136" s="46" t="n"/>
      <c r="N136" s="36">
        <f>IFERROR(INDEX(Stage_Type,MATCH(H136,Stage_Names,0)),"")</f>
        <v/>
      </c>
      <c r="O136" s="36">
        <f>IF(OR(H136="",L136=""),"",IF(N136="مفتوح",TODAY()-L136,M136-L136))</f>
        <v/>
      </c>
      <c r="P136" s="36">
        <f>IF(L136="","",TEXT(L136,"YYYY-MM"))</f>
        <v/>
      </c>
      <c r="Q136" s="45" t="n"/>
    </row>
    <row r="137">
      <c r="A137" s="29">
        <f>IF(B137="","",ROW()-2)</f>
        <v/>
      </c>
      <c r="B137" s="43" t="n"/>
      <c r="C137" s="43" t="n"/>
      <c r="D137" s="43" t="n"/>
      <c r="E137" s="43" t="n"/>
      <c r="F137" s="44" t="n"/>
      <c r="G137" s="44" t="n"/>
      <c r="H137" s="44" t="n"/>
      <c r="I137" s="44" t="n"/>
      <c r="J137" s="33">
        <f>IFERROR(INDEX(Stage_Prob,MATCH(H137,Stage_Names,0)),"")</f>
        <v/>
      </c>
      <c r="K137" s="34">
        <f>IF(OR(H137="",I137=""),"",I137*J137)</f>
        <v/>
      </c>
      <c r="L137" s="44" t="n"/>
      <c r="M137" s="44" t="n"/>
      <c r="N137" s="29">
        <f>IFERROR(INDEX(Stage_Type,MATCH(H137,Stage_Names,0)),"")</f>
        <v/>
      </c>
      <c r="O137" s="29">
        <f>IF(OR(H137="",L137=""),"",IF(N137="مفتوح",TODAY()-L137,M137-L137))</f>
        <v/>
      </c>
      <c r="P137" s="29">
        <f>IF(L137="","",TEXT(L137,"YYYY-MM"))</f>
        <v/>
      </c>
      <c r="Q137" s="43" t="n"/>
    </row>
    <row r="138">
      <c r="A138" s="36">
        <f>IF(B138="","",ROW()-2)</f>
        <v/>
      </c>
      <c r="B138" s="45" t="n"/>
      <c r="C138" s="45" t="n"/>
      <c r="D138" s="45" t="n"/>
      <c r="E138" s="45" t="n"/>
      <c r="F138" s="46" t="n"/>
      <c r="G138" s="46" t="n"/>
      <c r="H138" s="46" t="n"/>
      <c r="I138" s="46" t="n"/>
      <c r="J138" s="40">
        <f>IFERROR(INDEX(Stage_Prob,MATCH(H138,Stage_Names,0)),"")</f>
        <v/>
      </c>
      <c r="K138" s="41">
        <f>IF(OR(H138="",I138=""),"",I138*J138)</f>
        <v/>
      </c>
      <c r="L138" s="46" t="n"/>
      <c r="M138" s="46" t="n"/>
      <c r="N138" s="36">
        <f>IFERROR(INDEX(Stage_Type,MATCH(H138,Stage_Names,0)),"")</f>
        <v/>
      </c>
      <c r="O138" s="36">
        <f>IF(OR(H138="",L138=""),"",IF(N138="مفتوح",TODAY()-L138,M138-L138))</f>
        <v/>
      </c>
      <c r="P138" s="36">
        <f>IF(L138="","",TEXT(L138,"YYYY-MM"))</f>
        <v/>
      </c>
      <c r="Q138" s="45" t="n"/>
    </row>
    <row r="139">
      <c r="A139" s="29">
        <f>IF(B139="","",ROW()-2)</f>
        <v/>
      </c>
      <c r="B139" s="43" t="n"/>
      <c r="C139" s="43" t="n"/>
      <c r="D139" s="43" t="n"/>
      <c r="E139" s="43" t="n"/>
      <c r="F139" s="44" t="n"/>
      <c r="G139" s="44" t="n"/>
      <c r="H139" s="44" t="n"/>
      <c r="I139" s="44" t="n"/>
      <c r="J139" s="33">
        <f>IFERROR(INDEX(Stage_Prob,MATCH(H139,Stage_Names,0)),"")</f>
        <v/>
      </c>
      <c r="K139" s="34">
        <f>IF(OR(H139="",I139=""),"",I139*J139)</f>
        <v/>
      </c>
      <c r="L139" s="44" t="n"/>
      <c r="M139" s="44" t="n"/>
      <c r="N139" s="29">
        <f>IFERROR(INDEX(Stage_Type,MATCH(H139,Stage_Names,0)),"")</f>
        <v/>
      </c>
      <c r="O139" s="29">
        <f>IF(OR(H139="",L139=""),"",IF(N139="مفتوح",TODAY()-L139,M139-L139))</f>
        <v/>
      </c>
      <c r="P139" s="29">
        <f>IF(L139="","",TEXT(L139,"YYYY-MM"))</f>
        <v/>
      </c>
      <c r="Q139" s="43" t="n"/>
    </row>
    <row r="140">
      <c r="A140" s="36">
        <f>IF(B140="","",ROW()-2)</f>
        <v/>
      </c>
      <c r="B140" s="45" t="n"/>
      <c r="C140" s="45" t="n"/>
      <c r="D140" s="45" t="n"/>
      <c r="E140" s="45" t="n"/>
      <c r="F140" s="46" t="n"/>
      <c r="G140" s="46" t="n"/>
      <c r="H140" s="46" t="n"/>
      <c r="I140" s="46" t="n"/>
      <c r="J140" s="40">
        <f>IFERROR(INDEX(Stage_Prob,MATCH(H140,Stage_Names,0)),"")</f>
        <v/>
      </c>
      <c r="K140" s="41">
        <f>IF(OR(H140="",I140=""),"",I140*J140)</f>
        <v/>
      </c>
      <c r="L140" s="46" t="n"/>
      <c r="M140" s="46" t="n"/>
      <c r="N140" s="36">
        <f>IFERROR(INDEX(Stage_Type,MATCH(H140,Stage_Names,0)),"")</f>
        <v/>
      </c>
      <c r="O140" s="36">
        <f>IF(OR(H140="",L140=""),"",IF(N140="مفتوح",TODAY()-L140,M140-L140))</f>
        <v/>
      </c>
      <c r="P140" s="36">
        <f>IF(L140="","",TEXT(L140,"YYYY-MM"))</f>
        <v/>
      </c>
      <c r="Q140" s="45" t="n"/>
    </row>
    <row r="141">
      <c r="A141" s="29">
        <f>IF(B141="","",ROW()-2)</f>
        <v/>
      </c>
      <c r="B141" s="43" t="n"/>
      <c r="C141" s="43" t="n"/>
      <c r="D141" s="43" t="n"/>
      <c r="E141" s="43" t="n"/>
      <c r="F141" s="44" t="n"/>
      <c r="G141" s="44" t="n"/>
      <c r="H141" s="44" t="n"/>
      <c r="I141" s="44" t="n"/>
      <c r="J141" s="33">
        <f>IFERROR(INDEX(Stage_Prob,MATCH(H141,Stage_Names,0)),"")</f>
        <v/>
      </c>
      <c r="K141" s="34">
        <f>IF(OR(H141="",I141=""),"",I141*J141)</f>
        <v/>
      </c>
      <c r="L141" s="44" t="n"/>
      <c r="M141" s="44" t="n"/>
      <c r="N141" s="29">
        <f>IFERROR(INDEX(Stage_Type,MATCH(H141,Stage_Names,0)),"")</f>
        <v/>
      </c>
      <c r="O141" s="29">
        <f>IF(OR(H141="",L141=""),"",IF(N141="مفتوح",TODAY()-L141,M141-L141))</f>
        <v/>
      </c>
      <c r="P141" s="29">
        <f>IF(L141="","",TEXT(L141,"YYYY-MM"))</f>
        <v/>
      </c>
      <c r="Q141" s="43" t="n"/>
    </row>
    <row r="142">
      <c r="A142" s="36">
        <f>IF(B142="","",ROW()-2)</f>
        <v/>
      </c>
      <c r="B142" s="45" t="n"/>
      <c r="C142" s="45" t="n"/>
      <c r="D142" s="45" t="n"/>
      <c r="E142" s="45" t="n"/>
      <c r="F142" s="46" t="n"/>
      <c r="G142" s="46" t="n"/>
      <c r="H142" s="46" t="n"/>
      <c r="I142" s="46" t="n"/>
      <c r="J142" s="40">
        <f>IFERROR(INDEX(Stage_Prob,MATCH(H142,Stage_Names,0)),"")</f>
        <v/>
      </c>
      <c r="K142" s="41">
        <f>IF(OR(H142="",I142=""),"",I142*J142)</f>
        <v/>
      </c>
      <c r="L142" s="46" t="n"/>
      <c r="M142" s="46" t="n"/>
      <c r="N142" s="36">
        <f>IFERROR(INDEX(Stage_Type,MATCH(H142,Stage_Names,0)),"")</f>
        <v/>
      </c>
      <c r="O142" s="36">
        <f>IF(OR(H142="",L142=""),"",IF(N142="مفتوح",TODAY()-L142,M142-L142))</f>
        <v/>
      </c>
      <c r="P142" s="36">
        <f>IF(L142="","",TEXT(L142,"YYYY-MM"))</f>
        <v/>
      </c>
      <c r="Q142" s="45" t="n"/>
    </row>
    <row r="143">
      <c r="A143" s="29">
        <f>IF(B143="","",ROW()-2)</f>
        <v/>
      </c>
      <c r="B143" s="43" t="n"/>
      <c r="C143" s="43" t="n"/>
      <c r="D143" s="43" t="n"/>
      <c r="E143" s="43" t="n"/>
      <c r="F143" s="44" t="n"/>
      <c r="G143" s="44" t="n"/>
      <c r="H143" s="44" t="n"/>
      <c r="I143" s="44" t="n"/>
      <c r="J143" s="33">
        <f>IFERROR(INDEX(Stage_Prob,MATCH(H143,Stage_Names,0)),"")</f>
        <v/>
      </c>
      <c r="K143" s="34">
        <f>IF(OR(H143="",I143=""),"",I143*J143)</f>
        <v/>
      </c>
      <c r="L143" s="44" t="n"/>
      <c r="M143" s="44" t="n"/>
      <c r="N143" s="29">
        <f>IFERROR(INDEX(Stage_Type,MATCH(H143,Stage_Names,0)),"")</f>
        <v/>
      </c>
      <c r="O143" s="29">
        <f>IF(OR(H143="",L143=""),"",IF(N143="مفتوح",TODAY()-L143,M143-L143))</f>
        <v/>
      </c>
      <c r="P143" s="29">
        <f>IF(L143="","",TEXT(L143,"YYYY-MM"))</f>
        <v/>
      </c>
      <c r="Q143" s="43" t="n"/>
    </row>
    <row r="144">
      <c r="A144" s="36">
        <f>IF(B144="","",ROW()-2)</f>
        <v/>
      </c>
      <c r="B144" s="45" t="n"/>
      <c r="C144" s="45" t="n"/>
      <c r="D144" s="45" t="n"/>
      <c r="E144" s="45" t="n"/>
      <c r="F144" s="46" t="n"/>
      <c r="G144" s="46" t="n"/>
      <c r="H144" s="46" t="n"/>
      <c r="I144" s="46" t="n"/>
      <c r="J144" s="40">
        <f>IFERROR(INDEX(Stage_Prob,MATCH(H144,Stage_Names,0)),"")</f>
        <v/>
      </c>
      <c r="K144" s="41">
        <f>IF(OR(H144="",I144=""),"",I144*J144)</f>
        <v/>
      </c>
      <c r="L144" s="46" t="n"/>
      <c r="M144" s="46" t="n"/>
      <c r="N144" s="36">
        <f>IFERROR(INDEX(Stage_Type,MATCH(H144,Stage_Names,0)),"")</f>
        <v/>
      </c>
      <c r="O144" s="36">
        <f>IF(OR(H144="",L144=""),"",IF(N144="مفتوح",TODAY()-L144,M144-L144))</f>
        <v/>
      </c>
      <c r="P144" s="36">
        <f>IF(L144="","",TEXT(L144,"YYYY-MM"))</f>
        <v/>
      </c>
      <c r="Q144" s="45" t="n"/>
    </row>
    <row r="145">
      <c r="A145" s="29">
        <f>IF(B145="","",ROW()-2)</f>
        <v/>
      </c>
      <c r="B145" s="43" t="n"/>
      <c r="C145" s="43" t="n"/>
      <c r="D145" s="43" t="n"/>
      <c r="E145" s="43" t="n"/>
      <c r="F145" s="44" t="n"/>
      <c r="G145" s="44" t="n"/>
      <c r="H145" s="44" t="n"/>
      <c r="I145" s="44" t="n"/>
      <c r="J145" s="33">
        <f>IFERROR(INDEX(Stage_Prob,MATCH(H145,Stage_Names,0)),"")</f>
        <v/>
      </c>
      <c r="K145" s="34">
        <f>IF(OR(H145="",I145=""),"",I145*J145)</f>
        <v/>
      </c>
      <c r="L145" s="44" t="n"/>
      <c r="M145" s="44" t="n"/>
      <c r="N145" s="29">
        <f>IFERROR(INDEX(Stage_Type,MATCH(H145,Stage_Names,0)),"")</f>
        <v/>
      </c>
      <c r="O145" s="29">
        <f>IF(OR(H145="",L145=""),"",IF(N145="مفتوح",TODAY()-L145,M145-L145))</f>
        <v/>
      </c>
      <c r="P145" s="29">
        <f>IF(L145="","",TEXT(L145,"YYYY-MM"))</f>
        <v/>
      </c>
      <c r="Q145" s="43" t="n"/>
    </row>
    <row r="146">
      <c r="A146" s="36">
        <f>IF(B146="","",ROW()-2)</f>
        <v/>
      </c>
      <c r="B146" s="45" t="n"/>
      <c r="C146" s="45" t="n"/>
      <c r="D146" s="45" t="n"/>
      <c r="E146" s="45" t="n"/>
      <c r="F146" s="46" t="n"/>
      <c r="G146" s="46" t="n"/>
      <c r="H146" s="46" t="n"/>
      <c r="I146" s="46" t="n"/>
      <c r="J146" s="40">
        <f>IFERROR(INDEX(Stage_Prob,MATCH(H146,Stage_Names,0)),"")</f>
        <v/>
      </c>
      <c r="K146" s="41">
        <f>IF(OR(H146="",I146=""),"",I146*J146)</f>
        <v/>
      </c>
      <c r="L146" s="46" t="n"/>
      <c r="M146" s="46" t="n"/>
      <c r="N146" s="36">
        <f>IFERROR(INDEX(Stage_Type,MATCH(H146,Stage_Names,0)),"")</f>
        <v/>
      </c>
      <c r="O146" s="36">
        <f>IF(OR(H146="",L146=""),"",IF(N146="مفتوح",TODAY()-L146,M146-L146))</f>
        <v/>
      </c>
      <c r="P146" s="36">
        <f>IF(L146="","",TEXT(L146,"YYYY-MM"))</f>
        <v/>
      </c>
      <c r="Q146" s="45" t="n"/>
    </row>
    <row r="147">
      <c r="A147" s="29">
        <f>IF(B147="","",ROW()-2)</f>
        <v/>
      </c>
      <c r="B147" s="43" t="n"/>
      <c r="C147" s="43" t="n"/>
      <c r="D147" s="43" t="n"/>
      <c r="E147" s="43" t="n"/>
      <c r="F147" s="44" t="n"/>
      <c r="G147" s="44" t="n"/>
      <c r="H147" s="44" t="n"/>
      <c r="I147" s="44" t="n"/>
      <c r="J147" s="33">
        <f>IFERROR(INDEX(Stage_Prob,MATCH(H147,Stage_Names,0)),"")</f>
        <v/>
      </c>
      <c r="K147" s="34">
        <f>IF(OR(H147="",I147=""),"",I147*J147)</f>
        <v/>
      </c>
      <c r="L147" s="44" t="n"/>
      <c r="M147" s="44" t="n"/>
      <c r="N147" s="29">
        <f>IFERROR(INDEX(Stage_Type,MATCH(H147,Stage_Names,0)),"")</f>
        <v/>
      </c>
      <c r="O147" s="29">
        <f>IF(OR(H147="",L147=""),"",IF(N147="مفتوح",TODAY()-L147,M147-L147))</f>
        <v/>
      </c>
      <c r="P147" s="29">
        <f>IF(L147="","",TEXT(L147,"YYYY-MM"))</f>
        <v/>
      </c>
      <c r="Q147" s="43" t="n"/>
    </row>
    <row r="148">
      <c r="A148" s="36">
        <f>IF(B148="","",ROW()-2)</f>
        <v/>
      </c>
      <c r="B148" s="45" t="n"/>
      <c r="C148" s="45" t="n"/>
      <c r="D148" s="45" t="n"/>
      <c r="E148" s="45" t="n"/>
      <c r="F148" s="46" t="n"/>
      <c r="G148" s="46" t="n"/>
      <c r="H148" s="46" t="n"/>
      <c r="I148" s="46" t="n"/>
      <c r="J148" s="40">
        <f>IFERROR(INDEX(Stage_Prob,MATCH(H148,Stage_Names,0)),"")</f>
        <v/>
      </c>
      <c r="K148" s="41">
        <f>IF(OR(H148="",I148=""),"",I148*J148)</f>
        <v/>
      </c>
      <c r="L148" s="46" t="n"/>
      <c r="M148" s="46" t="n"/>
      <c r="N148" s="36">
        <f>IFERROR(INDEX(Stage_Type,MATCH(H148,Stage_Names,0)),"")</f>
        <v/>
      </c>
      <c r="O148" s="36">
        <f>IF(OR(H148="",L148=""),"",IF(N148="مفتوح",TODAY()-L148,M148-L148))</f>
        <v/>
      </c>
      <c r="P148" s="36">
        <f>IF(L148="","",TEXT(L148,"YYYY-MM"))</f>
        <v/>
      </c>
      <c r="Q148" s="45" t="n"/>
    </row>
    <row r="149">
      <c r="A149" s="29">
        <f>IF(B149="","",ROW()-2)</f>
        <v/>
      </c>
      <c r="B149" s="43" t="n"/>
      <c r="C149" s="43" t="n"/>
      <c r="D149" s="43" t="n"/>
      <c r="E149" s="43" t="n"/>
      <c r="F149" s="44" t="n"/>
      <c r="G149" s="44" t="n"/>
      <c r="H149" s="44" t="n"/>
      <c r="I149" s="44" t="n"/>
      <c r="J149" s="33">
        <f>IFERROR(INDEX(Stage_Prob,MATCH(H149,Stage_Names,0)),"")</f>
        <v/>
      </c>
      <c r="K149" s="34">
        <f>IF(OR(H149="",I149=""),"",I149*J149)</f>
        <v/>
      </c>
      <c r="L149" s="44" t="n"/>
      <c r="M149" s="44" t="n"/>
      <c r="N149" s="29">
        <f>IFERROR(INDEX(Stage_Type,MATCH(H149,Stage_Names,0)),"")</f>
        <v/>
      </c>
      <c r="O149" s="29">
        <f>IF(OR(H149="",L149=""),"",IF(N149="مفتوح",TODAY()-L149,M149-L149))</f>
        <v/>
      </c>
      <c r="P149" s="29">
        <f>IF(L149="","",TEXT(L149,"YYYY-MM"))</f>
        <v/>
      </c>
      <c r="Q149" s="43" t="n"/>
    </row>
    <row r="150">
      <c r="A150" s="36">
        <f>IF(B150="","",ROW()-2)</f>
        <v/>
      </c>
      <c r="B150" s="45" t="n"/>
      <c r="C150" s="45" t="n"/>
      <c r="D150" s="45" t="n"/>
      <c r="E150" s="45" t="n"/>
      <c r="F150" s="46" t="n"/>
      <c r="G150" s="46" t="n"/>
      <c r="H150" s="46" t="n"/>
      <c r="I150" s="46" t="n"/>
      <c r="J150" s="40">
        <f>IFERROR(INDEX(Stage_Prob,MATCH(H150,Stage_Names,0)),"")</f>
        <v/>
      </c>
      <c r="K150" s="41">
        <f>IF(OR(H150="",I150=""),"",I150*J150)</f>
        <v/>
      </c>
      <c r="L150" s="46" t="n"/>
      <c r="M150" s="46" t="n"/>
      <c r="N150" s="36">
        <f>IFERROR(INDEX(Stage_Type,MATCH(H150,Stage_Names,0)),"")</f>
        <v/>
      </c>
      <c r="O150" s="36">
        <f>IF(OR(H150="",L150=""),"",IF(N150="مفتوح",TODAY()-L150,M150-L150))</f>
        <v/>
      </c>
      <c r="P150" s="36">
        <f>IF(L150="","",TEXT(L150,"YYYY-MM"))</f>
        <v/>
      </c>
      <c r="Q150" s="45" t="n"/>
    </row>
    <row r="151">
      <c r="A151" s="29">
        <f>IF(B151="","",ROW()-2)</f>
        <v/>
      </c>
      <c r="B151" s="43" t="n"/>
      <c r="C151" s="43" t="n"/>
      <c r="D151" s="43" t="n"/>
      <c r="E151" s="43" t="n"/>
      <c r="F151" s="44" t="n"/>
      <c r="G151" s="44" t="n"/>
      <c r="H151" s="44" t="n"/>
      <c r="I151" s="44" t="n"/>
      <c r="J151" s="33">
        <f>IFERROR(INDEX(Stage_Prob,MATCH(H151,Stage_Names,0)),"")</f>
        <v/>
      </c>
      <c r="K151" s="34">
        <f>IF(OR(H151="",I151=""),"",I151*J151)</f>
        <v/>
      </c>
      <c r="L151" s="44" t="n"/>
      <c r="M151" s="44" t="n"/>
      <c r="N151" s="29">
        <f>IFERROR(INDEX(Stage_Type,MATCH(H151,Stage_Names,0)),"")</f>
        <v/>
      </c>
      <c r="O151" s="29">
        <f>IF(OR(H151="",L151=""),"",IF(N151="مفتوح",TODAY()-L151,M151-L151))</f>
        <v/>
      </c>
      <c r="P151" s="29">
        <f>IF(L151="","",TEXT(L151,"YYYY-MM"))</f>
        <v/>
      </c>
      <c r="Q151" s="43" t="n"/>
    </row>
    <row r="152">
      <c r="A152" s="36">
        <f>IF(B152="","",ROW()-2)</f>
        <v/>
      </c>
      <c r="B152" s="45" t="n"/>
      <c r="C152" s="45" t="n"/>
      <c r="D152" s="45" t="n"/>
      <c r="E152" s="45" t="n"/>
      <c r="F152" s="46" t="n"/>
      <c r="G152" s="46" t="n"/>
      <c r="H152" s="46" t="n"/>
      <c r="I152" s="46" t="n"/>
      <c r="J152" s="40">
        <f>IFERROR(INDEX(Stage_Prob,MATCH(H152,Stage_Names,0)),"")</f>
        <v/>
      </c>
      <c r="K152" s="41">
        <f>IF(OR(H152="",I152=""),"",I152*J152)</f>
        <v/>
      </c>
      <c r="L152" s="46" t="n"/>
      <c r="M152" s="46" t="n"/>
      <c r="N152" s="36">
        <f>IFERROR(INDEX(Stage_Type,MATCH(H152,Stage_Names,0)),"")</f>
        <v/>
      </c>
      <c r="O152" s="36">
        <f>IF(OR(H152="",L152=""),"",IF(N152="مفتوح",TODAY()-L152,M152-L152))</f>
        <v/>
      </c>
      <c r="P152" s="36">
        <f>IF(L152="","",TEXT(L152,"YYYY-MM"))</f>
        <v/>
      </c>
      <c r="Q152" s="45" t="n"/>
    </row>
    <row r="153">
      <c r="A153" s="29">
        <f>IF(B153="","",ROW()-2)</f>
        <v/>
      </c>
      <c r="B153" s="43" t="n"/>
      <c r="C153" s="43" t="n"/>
      <c r="D153" s="43" t="n"/>
      <c r="E153" s="43" t="n"/>
      <c r="F153" s="44" t="n"/>
      <c r="G153" s="44" t="n"/>
      <c r="H153" s="44" t="n"/>
      <c r="I153" s="44" t="n"/>
      <c r="J153" s="33">
        <f>IFERROR(INDEX(Stage_Prob,MATCH(H153,Stage_Names,0)),"")</f>
        <v/>
      </c>
      <c r="K153" s="34">
        <f>IF(OR(H153="",I153=""),"",I153*J153)</f>
        <v/>
      </c>
      <c r="L153" s="44" t="n"/>
      <c r="M153" s="44" t="n"/>
      <c r="N153" s="29">
        <f>IFERROR(INDEX(Stage_Type,MATCH(H153,Stage_Names,0)),"")</f>
        <v/>
      </c>
      <c r="O153" s="29">
        <f>IF(OR(H153="",L153=""),"",IF(N153="مفتوح",TODAY()-L153,M153-L153))</f>
        <v/>
      </c>
      <c r="P153" s="29">
        <f>IF(L153="","",TEXT(L153,"YYYY-MM"))</f>
        <v/>
      </c>
      <c r="Q153" s="43" t="n"/>
    </row>
    <row r="154">
      <c r="A154" s="36">
        <f>IF(B154="","",ROW()-2)</f>
        <v/>
      </c>
      <c r="B154" s="45" t="n"/>
      <c r="C154" s="45" t="n"/>
      <c r="D154" s="45" t="n"/>
      <c r="E154" s="45" t="n"/>
      <c r="F154" s="46" t="n"/>
      <c r="G154" s="46" t="n"/>
      <c r="H154" s="46" t="n"/>
      <c r="I154" s="46" t="n"/>
      <c r="J154" s="40">
        <f>IFERROR(INDEX(Stage_Prob,MATCH(H154,Stage_Names,0)),"")</f>
        <v/>
      </c>
      <c r="K154" s="41">
        <f>IF(OR(H154="",I154=""),"",I154*J154)</f>
        <v/>
      </c>
      <c r="L154" s="46" t="n"/>
      <c r="M154" s="46" t="n"/>
      <c r="N154" s="36">
        <f>IFERROR(INDEX(Stage_Type,MATCH(H154,Stage_Names,0)),"")</f>
        <v/>
      </c>
      <c r="O154" s="36">
        <f>IF(OR(H154="",L154=""),"",IF(N154="مفتوح",TODAY()-L154,M154-L154))</f>
        <v/>
      </c>
      <c r="P154" s="36">
        <f>IF(L154="","",TEXT(L154,"YYYY-MM"))</f>
        <v/>
      </c>
      <c r="Q154" s="45" t="n"/>
    </row>
    <row r="155">
      <c r="A155" s="29">
        <f>IF(B155="","",ROW()-2)</f>
        <v/>
      </c>
      <c r="B155" s="43" t="n"/>
      <c r="C155" s="43" t="n"/>
      <c r="D155" s="43" t="n"/>
      <c r="E155" s="43" t="n"/>
      <c r="F155" s="44" t="n"/>
      <c r="G155" s="44" t="n"/>
      <c r="H155" s="44" t="n"/>
      <c r="I155" s="44" t="n"/>
      <c r="J155" s="33">
        <f>IFERROR(INDEX(Stage_Prob,MATCH(H155,Stage_Names,0)),"")</f>
        <v/>
      </c>
      <c r="K155" s="34">
        <f>IF(OR(H155="",I155=""),"",I155*J155)</f>
        <v/>
      </c>
      <c r="L155" s="44" t="n"/>
      <c r="M155" s="44" t="n"/>
      <c r="N155" s="29">
        <f>IFERROR(INDEX(Stage_Type,MATCH(H155,Stage_Names,0)),"")</f>
        <v/>
      </c>
      <c r="O155" s="29">
        <f>IF(OR(H155="",L155=""),"",IF(N155="مفتوح",TODAY()-L155,M155-L155))</f>
        <v/>
      </c>
      <c r="P155" s="29">
        <f>IF(L155="","",TEXT(L155,"YYYY-MM"))</f>
        <v/>
      </c>
      <c r="Q155" s="43" t="n"/>
    </row>
    <row r="156">
      <c r="A156" s="36">
        <f>IF(B156="","",ROW()-2)</f>
        <v/>
      </c>
      <c r="B156" s="45" t="n"/>
      <c r="C156" s="45" t="n"/>
      <c r="D156" s="45" t="n"/>
      <c r="E156" s="45" t="n"/>
      <c r="F156" s="46" t="n"/>
      <c r="G156" s="46" t="n"/>
      <c r="H156" s="46" t="n"/>
      <c r="I156" s="46" t="n"/>
      <c r="J156" s="40">
        <f>IFERROR(INDEX(Stage_Prob,MATCH(H156,Stage_Names,0)),"")</f>
        <v/>
      </c>
      <c r="K156" s="41">
        <f>IF(OR(H156="",I156=""),"",I156*J156)</f>
        <v/>
      </c>
      <c r="L156" s="46" t="n"/>
      <c r="M156" s="46" t="n"/>
      <c r="N156" s="36">
        <f>IFERROR(INDEX(Stage_Type,MATCH(H156,Stage_Names,0)),"")</f>
        <v/>
      </c>
      <c r="O156" s="36">
        <f>IF(OR(H156="",L156=""),"",IF(N156="مفتوح",TODAY()-L156,M156-L156))</f>
        <v/>
      </c>
      <c r="P156" s="36">
        <f>IF(L156="","",TEXT(L156,"YYYY-MM"))</f>
        <v/>
      </c>
      <c r="Q156" s="45" t="n"/>
    </row>
    <row r="157">
      <c r="A157" s="29">
        <f>IF(B157="","",ROW()-2)</f>
        <v/>
      </c>
      <c r="B157" s="43" t="n"/>
      <c r="C157" s="43" t="n"/>
      <c r="D157" s="43" t="n"/>
      <c r="E157" s="43" t="n"/>
      <c r="F157" s="44" t="n"/>
      <c r="G157" s="44" t="n"/>
      <c r="H157" s="44" t="n"/>
      <c r="I157" s="44" t="n"/>
      <c r="J157" s="33">
        <f>IFERROR(INDEX(Stage_Prob,MATCH(H157,Stage_Names,0)),"")</f>
        <v/>
      </c>
      <c r="K157" s="34">
        <f>IF(OR(H157="",I157=""),"",I157*J157)</f>
        <v/>
      </c>
      <c r="L157" s="44" t="n"/>
      <c r="M157" s="44" t="n"/>
      <c r="N157" s="29">
        <f>IFERROR(INDEX(Stage_Type,MATCH(H157,Stage_Names,0)),"")</f>
        <v/>
      </c>
      <c r="O157" s="29">
        <f>IF(OR(H157="",L157=""),"",IF(N157="مفتوح",TODAY()-L157,M157-L157))</f>
        <v/>
      </c>
      <c r="P157" s="29">
        <f>IF(L157="","",TEXT(L157,"YYYY-MM"))</f>
        <v/>
      </c>
      <c r="Q157" s="43" t="n"/>
    </row>
    <row r="158">
      <c r="A158" s="36">
        <f>IF(B158="","",ROW()-2)</f>
        <v/>
      </c>
      <c r="B158" s="45" t="n"/>
      <c r="C158" s="45" t="n"/>
      <c r="D158" s="45" t="n"/>
      <c r="E158" s="45" t="n"/>
      <c r="F158" s="46" t="n"/>
      <c r="G158" s="46" t="n"/>
      <c r="H158" s="46" t="n"/>
      <c r="I158" s="46" t="n"/>
      <c r="J158" s="40">
        <f>IFERROR(INDEX(Stage_Prob,MATCH(H158,Stage_Names,0)),"")</f>
        <v/>
      </c>
      <c r="K158" s="41">
        <f>IF(OR(H158="",I158=""),"",I158*J158)</f>
        <v/>
      </c>
      <c r="L158" s="46" t="n"/>
      <c r="M158" s="46" t="n"/>
      <c r="N158" s="36">
        <f>IFERROR(INDEX(Stage_Type,MATCH(H158,Stage_Names,0)),"")</f>
        <v/>
      </c>
      <c r="O158" s="36">
        <f>IF(OR(H158="",L158=""),"",IF(N158="مفتوح",TODAY()-L158,M158-L158))</f>
        <v/>
      </c>
      <c r="P158" s="36">
        <f>IF(L158="","",TEXT(L158,"YYYY-MM"))</f>
        <v/>
      </c>
      <c r="Q158" s="45" t="n"/>
    </row>
    <row r="159">
      <c r="A159" s="29">
        <f>IF(B159="","",ROW()-2)</f>
        <v/>
      </c>
      <c r="B159" s="43" t="n"/>
      <c r="C159" s="43" t="n"/>
      <c r="D159" s="43" t="n"/>
      <c r="E159" s="43" t="n"/>
      <c r="F159" s="44" t="n"/>
      <c r="G159" s="44" t="n"/>
      <c r="H159" s="44" t="n"/>
      <c r="I159" s="44" t="n"/>
      <c r="J159" s="33">
        <f>IFERROR(INDEX(Stage_Prob,MATCH(H159,Stage_Names,0)),"")</f>
        <v/>
      </c>
      <c r="K159" s="34">
        <f>IF(OR(H159="",I159=""),"",I159*J159)</f>
        <v/>
      </c>
      <c r="L159" s="44" t="n"/>
      <c r="M159" s="44" t="n"/>
      <c r="N159" s="29">
        <f>IFERROR(INDEX(Stage_Type,MATCH(H159,Stage_Names,0)),"")</f>
        <v/>
      </c>
      <c r="O159" s="29">
        <f>IF(OR(H159="",L159=""),"",IF(N159="مفتوح",TODAY()-L159,M159-L159))</f>
        <v/>
      </c>
      <c r="P159" s="29">
        <f>IF(L159="","",TEXT(L159,"YYYY-MM"))</f>
        <v/>
      </c>
      <c r="Q159" s="43" t="n"/>
    </row>
    <row r="160">
      <c r="A160" s="36">
        <f>IF(B160="","",ROW()-2)</f>
        <v/>
      </c>
      <c r="B160" s="45" t="n"/>
      <c r="C160" s="45" t="n"/>
      <c r="D160" s="45" t="n"/>
      <c r="E160" s="45" t="n"/>
      <c r="F160" s="46" t="n"/>
      <c r="G160" s="46" t="n"/>
      <c r="H160" s="46" t="n"/>
      <c r="I160" s="46" t="n"/>
      <c r="J160" s="40">
        <f>IFERROR(INDEX(Stage_Prob,MATCH(H160,Stage_Names,0)),"")</f>
        <v/>
      </c>
      <c r="K160" s="41">
        <f>IF(OR(H160="",I160=""),"",I160*J160)</f>
        <v/>
      </c>
      <c r="L160" s="46" t="n"/>
      <c r="M160" s="46" t="n"/>
      <c r="N160" s="36">
        <f>IFERROR(INDEX(Stage_Type,MATCH(H160,Stage_Names,0)),"")</f>
        <v/>
      </c>
      <c r="O160" s="36">
        <f>IF(OR(H160="",L160=""),"",IF(N160="مفتوح",TODAY()-L160,M160-L160))</f>
        <v/>
      </c>
      <c r="P160" s="36">
        <f>IF(L160="","",TEXT(L160,"YYYY-MM"))</f>
        <v/>
      </c>
      <c r="Q160" s="45" t="n"/>
    </row>
    <row r="161">
      <c r="A161" s="29">
        <f>IF(B161="","",ROW()-2)</f>
        <v/>
      </c>
      <c r="B161" s="43" t="n"/>
      <c r="C161" s="43" t="n"/>
      <c r="D161" s="43" t="n"/>
      <c r="E161" s="43" t="n"/>
      <c r="F161" s="44" t="n"/>
      <c r="G161" s="44" t="n"/>
      <c r="H161" s="44" t="n"/>
      <c r="I161" s="44" t="n"/>
      <c r="J161" s="33">
        <f>IFERROR(INDEX(Stage_Prob,MATCH(H161,Stage_Names,0)),"")</f>
        <v/>
      </c>
      <c r="K161" s="34">
        <f>IF(OR(H161="",I161=""),"",I161*J161)</f>
        <v/>
      </c>
      <c r="L161" s="44" t="n"/>
      <c r="M161" s="44" t="n"/>
      <c r="N161" s="29">
        <f>IFERROR(INDEX(Stage_Type,MATCH(H161,Stage_Names,0)),"")</f>
        <v/>
      </c>
      <c r="O161" s="29">
        <f>IF(OR(H161="",L161=""),"",IF(N161="مفتوح",TODAY()-L161,M161-L161))</f>
        <v/>
      </c>
      <c r="P161" s="29">
        <f>IF(L161="","",TEXT(L161,"YYYY-MM"))</f>
        <v/>
      </c>
      <c r="Q161" s="43" t="n"/>
    </row>
    <row r="162">
      <c r="A162" s="36">
        <f>IF(B162="","",ROW()-2)</f>
        <v/>
      </c>
      <c r="B162" s="45" t="n"/>
      <c r="C162" s="45" t="n"/>
      <c r="D162" s="45" t="n"/>
      <c r="E162" s="45" t="n"/>
      <c r="F162" s="46" t="n"/>
      <c r="G162" s="46" t="n"/>
      <c r="H162" s="46" t="n"/>
      <c r="I162" s="46" t="n"/>
      <c r="J162" s="40">
        <f>IFERROR(INDEX(Stage_Prob,MATCH(H162,Stage_Names,0)),"")</f>
        <v/>
      </c>
      <c r="K162" s="41">
        <f>IF(OR(H162="",I162=""),"",I162*J162)</f>
        <v/>
      </c>
      <c r="L162" s="46" t="n"/>
      <c r="M162" s="46" t="n"/>
      <c r="N162" s="36">
        <f>IFERROR(INDEX(Stage_Type,MATCH(H162,Stage_Names,0)),"")</f>
        <v/>
      </c>
      <c r="O162" s="36">
        <f>IF(OR(H162="",L162=""),"",IF(N162="مفتوح",TODAY()-L162,M162-L162))</f>
        <v/>
      </c>
      <c r="P162" s="36">
        <f>IF(L162="","",TEXT(L162,"YYYY-MM"))</f>
        <v/>
      </c>
      <c r="Q162" s="45" t="n"/>
    </row>
    <row r="163">
      <c r="A163" s="29">
        <f>IF(B163="","",ROW()-2)</f>
        <v/>
      </c>
      <c r="B163" s="43" t="n"/>
      <c r="C163" s="43" t="n"/>
      <c r="D163" s="43" t="n"/>
      <c r="E163" s="43" t="n"/>
      <c r="F163" s="44" t="n"/>
      <c r="G163" s="44" t="n"/>
      <c r="H163" s="44" t="n"/>
      <c r="I163" s="44" t="n"/>
      <c r="J163" s="33">
        <f>IFERROR(INDEX(Stage_Prob,MATCH(H163,Stage_Names,0)),"")</f>
        <v/>
      </c>
      <c r="K163" s="34">
        <f>IF(OR(H163="",I163=""),"",I163*J163)</f>
        <v/>
      </c>
      <c r="L163" s="44" t="n"/>
      <c r="M163" s="44" t="n"/>
      <c r="N163" s="29">
        <f>IFERROR(INDEX(Stage_Type,MATCH(H163,Stage_Names,0)),"")</f>
        <v/>
      </c>
      <c r="O163" s="29">
        <f>IF(OR(H163="",L163=""),"",IF(N163="مفتوح",TODAY()-L163,M163-L163))</f>
        <v/>
      </c>
      <c r="P163" s="29">
        <f>IF(L163="","",TEXT(L163,"YYYY-MM"))</f>
        <v/>
      </c>
      <c r="Q163" s="43" t="n"/>
    </row>
    <row r="164">
      <c r="A164" s="36">
        <f>IF(B164="","",ROW()-2)</f>
        <v/>
      </c>
      <c r="B164" s="45" t="n"/>
      <c r="C164" s="45" t="n"/>
      <c r="D164" s="45" t="n"/>
      <c r="E164" s="45" t="n"/>
      <c r="F164" s="46" t="n"/>
      <c r="G164" s="46" t="n"/>
      <c r="H164" s="46" t="n"/>
      <c r="I164" s="46" t="n"/>
      <c r="J164" s="40">
        <f>IFERROR(INDEX(Stage_Prob,MATCH(H164,Stage_Names,0)),"")</f>
        <v/>
      </c>
      <c r="K164" s="41">
        <f>IF(OR(H164="",I164=""),"",I164*J164)</f>
        <v/>
      </c>
      <c r="L164" s="46" t="n"/>
      <c r="M164" s="46" t="n"/>
      <c r="N164" s="36">
        <f>IFERROR(INDEX(Stage_Type,MATCH(H164,Stage_Names,0)),"")</f>
        <v/>
      </c>
      <c r="O164" s="36">
        <f>IF(OR(H164="",L164=""),"",IF(N164="مفتوح",TODAY()-L164,M164-L164))</f>
        <v/>
      </c>
      <c r="P164" s="36">
        <f>IF(L164="","",TEXT(L164,"YYYY-MM"))</f>
        <v/>
      </c>
      <c r="Q164" s="45" t="n"/>
    </row>
    <row r="165">
      <c r="A165" s="29">
        <f>IF(B165="","",ROW()-2)</f>
        <v/>
      </c>
      <c r="B165" s="43" t="n"/>
      <c r="C165" s="43" t="n"/>
      <c r="D165" s="43" t="n"/>
      <c r="E165" s="43" t="n"/>
      <c r="F165" s="44" t="n"/>
      <c r="G165" s="44" t="n"/>
      <c r="H165" s="44" t="n"/>
      <c r="I165" s="44" t="n"/>
      <c r="J165" s="33">
        <f>IFERROR(INDEX(Stage_Prob,MATCH(H165,Stage_Names,0)),"")</f>
        <v/>
      </c>
      <c r="K165" s="34">
        <f>IF(OR(H165="",I165=""),"",I165*J165)</f>
        <v/>
      </c>
      <c r="L165" s="44" t="n"/>
      <c r="M165" s="44" t="n"/>
      <c r="N165" s="29">
        <f>IFERROR(INDEX(Stage_Type,MATCH(H165,Stage_Names,0)),"")</f>
        <v/>
      </c>
      <c r="O165" s="29">
        <f>IF(OR(H165="",L165=""),"",IF(N165="مفتوح",TODAY()-L165,M165-L165))</f>
        <v/>
      </c>
      <c r="P165" s="29">
        <f>IF(L165="","",TEXT(L165,"YYYY-MM"))</f>
        <v/>
      </c>
      <c r="Q165" s="43" t="n"/>
    </row>
    <row r="166">
      <c r="A166" s="36">
        <f>IF(B166="","",ROW()-2)</f>
        <v/>
      </c>
      <c r="B166" s="45" t="n"/>
      <c r="C166" s="45" t="n"/>
      <c r="D166" s="45" t="n"/>
      <c r="E166" s="45" t="n"/>
      <c r="F166" s="46" t="n"/>
      <c r="G166" s="46" t="n"/>
      <c r="H166" s="46" t="n"/>
      <c r="I166" s="46" t="n"/>
      <c r="J166" s="40">
        <f>IFERROR(INDEX(Stage_Prob,MATCH(H166,Stage_Names,0)),"")</f>
        <v/>
      </c>
      <c r="K166" s="41">
        <f>IF(OR(H166="",I166=""),"",I166*J166)</f>
        <v/>
      </c>
      <c r="L166" s="46" t="n"/>
      <c r="M166" s="46" t="n"/>
      <c r="N166" s="36">
        <f>IFERROR(INDEX(Stage_Type,MATCH(H166,Stage_Names,0)),"")</f>
        <v/>
      </c>
      <c r="O166" s="36">
        <f>IF(OR(H166="",L166=""),"",IF(N166="مفتوح",TODAY()-L166,M166-L166))</f>
        <v/>
      </c>
      <c r="P166" s="36">
        <f>IF(L166="","",TEXT(L166,"YYYY-MM"))</f>
        <v/>
      </c>
      <c r="Q166" s="45" t="n"/>
    </row>
    <row r="167">
      <c r="A167" s="29">
        <f>IF(B167="","",ROW()-2)</f>
        <v/>
      </c>
      <c r="B167" s="43" t="n"/>
      <c r="C167" s="43" t="n"/>
      <c r="D167" s="43" t="n"/>
      <c r="E167" s="43" t="n"/>
      <c r="F167" s="44" t="n"/>
      <c r="G167" s="44" t="n"/>
      <c r="H167" s="44" t="n"/>
      <c r="I167" s="44" t="n"/>
      <c r="J167" s="33">
        <f>IFERROR(INDEX(Stage_Prob,MATCH(H167,Stage_Names,0)),"")</f>
        <v/>
      </c>
      <c r="K167" s="34">
        <f>IF(OR(H167="",I167=""),"",I167*J167)</f>
        <v/>
      </c>
      <c r="L167" s="44" t="n"/>
      <c r="M167" s="44" t="n"/>
      <c r="N167" s="29">
        <f>IFERROR(INDEX(Stage_Type,MATCH(H167,Stage_Names,0)),"")</f>
        <v/>
      </c>
      <c r="O167" s="29">
        <f>IF(OR(H167="",L167=""),"",IF(N167="مفتوح",TODAY()-L167,M167-L167))</f>
        <v/>
      </c>
      <c r="P167" s="29">
        <f>IF(L167="","",TEXT(L167,"YYYY-MM"))</f>
        <v/>
      </c>
      <c r="Q167" s="43" t="n"/>
    </row>
    <row r="168">
      <c r="A168" s="36">
        <f>IF(B168="","",ROW()-2)</f>
        <v/>
      </c>
      <c r="B168" s="45" t="n"/>
      <c r="C168" s="45" t="n"/>
      <c r="D168" s="45" t="n"/>
      <c r="E168" s="45" t="n"/>
      <c r="F168" s="46" t="n"/>
      <c r="G168" s="46" t="n"/>
      <c r="H168" s="46" t="n"/>
      <c r="I168" s="46" t="n"/>
      <c r="J168" s="40">
        <f>IFERROR(INDEX(Stage_Prob,MATCH(H168,Stage_Names,0)),"")</f>
        <v/>
      </c>
      <c r="K168" s="41">
        <f>IF(OR(H168="",I168=""),"",I168*J168)</f>
        <v/>
      </c>
      <c r="L168" s="46" t="n"/>
      <c r="M168" s="46" t="n"/>
      <c r="N168" s="36">
        <f>IFERROR(INDEX(Stage_Type,MATCH(H168,Stage_Names,0)),"")</f>
        <v/>
      </c>
      <c r="O168" s="36">
        <f>IF(OR(H168="",L168=""),"",IF(N168="مفتوح",TODAY()-L168,M168-L168))</f>
        <v/>
      </c>
      <c r="P168" s="36">
        <f>IF(L168="","",TEXT(L168,"YYYY-MM"))</f>
        <v/>
      </c>
      <c r="Q168" s="45" t="n"/>
    </row>
    <row r="169">
      <c r="A169" s="29">
        <f>IF(B169="","",ROW()-2)</f>
        <v/>
      </c>
      <c r="B169" s="43" t="n"/>
      <c r="C169" s="43" t="n"/>
      <c r="D169" s="43" t="n"/>
      <c r="E169" s="43" t="n"/>
      <c r="F169" s="44" t="n"/>
      <c r="G169" s="44" t="n"/>
      <c r="H169" s="44" t="n"/>
      <c r="I169" s="44" t="n"/>
      <c r="J169" s="33">
        <f>IFERROR(INDEX(Stage_Prob,MATCH(H169,Stage_Names,0)),"")</f>
        <v/>
      </c>
      <c r="K169" s="34">
        <f>IF(OR(H169="",I169=""),"",I169*J169)</f>
        <v/>
      </c>
      <c r="L169" s="44" t="n"/>
      <c r="M169" s="44" t="n"/>
      <c r="N169" s="29">
        <f>IFERROR(INDEX(Stage_Type,MATCH(H169,Stage_Names,0)),"")</f>
        <v/>
      </c>
      <c r="O169" s="29">
        <f>IF(OR(H169="",L169=""),"",IF(N169="مفتوح",TODAY()-L169,M169-L169))</f>
        <v/>
      </c>
      <c r="P169" s="29">
        <f>IF(L169="","",TEXT(L169,"YYYY-MM"))</f>
        <v/>
      </c>
      <c r="Q169" s="43" t="n"/>
    </row>
    <row r="170">
      <c r="A170" s="36">
        <f>IF(B170="","",ROW()-2)</f>
        <v/>
      </c>
      <c r="B170" s="45" t="n"/>
      <c r="C170" s="45" t="n"/>
      <c r="D170" s="45" t="n"/>
      <c r="E170" s="45" t="n"/>
      <c r="F170" s="46" t="n"/>
      <c r="G170" s="46" t="n"/>
      <c r="H170" s="46" t="n"/>
      <c r="I170" s="46" t="n"/>
      <c r="J170" s="40">
        <f>IFERROR(INDEX(Stage_Prob,MATCH(H170,Stage_Names,0)),"")</f>
        <v/>
      </c>
      <c r="K170" s="41">
        <f>IF(OR(H170="",I170=""),"",I170*J170)</f>
        <v/>
      </c>
      <c r="L170" s="46" t="n"/>
      <c r="M170" s="46" t="n"/>
      <c r="N170" s="36">
        <f>IFERROR(INDEX(Stage_Type,MATCH(H170,Stage_Names,0)),"")</f>
        <v/>
      </c>
      <c r="O170" s="36">
        <f>IF(OR(H170="",L170=""),"",IF(N170="مفتوح",TODAY()-L170,M170-L170))</f>
        <v/>
      </c>
      <c r="P170" s="36">
        <f>IF(L170="","",TEXT(L170,"YYYY-MM"))</f>
        <v/>
      </c>
      <c r="Q170" s="45" t="n"/>
    </row>
    <row r="171">
      <c r="A171" s="29">
        <f>IF(B171="","",ROW()-2)</f>
        <v/>
      </c>
      <c r="B171" s="43" t="n"/>
      <c r="C171" s="43" t="n"/>
      <c r="D171" s="43" t="n"/>
      <c r="E171" s="43" t="n"/>
      <c r="F171" s="44" t="n"/>
      <c r="G171" s="44" t="n"/>
      <c r="H171" s="44" t="n"/>
      <c r="I171" s="44" t="n"/>
      <c r="J171" s="33">
        <f>IFERROR(INDEX(Stage_Prob,MATCH(H171,Stage_Names,0)),"")</f>
        <v/>
      </c>
      <c r="K171" s="34">
        <f>IF(OR(H171="",I171=""),"",I171*J171)</f>
        <v/>
      </c>
      <c r="L171" s="44" t="n"/>
      <c r="M171" s="44" t="n"/>
      <c r="N171" s="29">
        <f>IFERROR(INDEX(Stage_Type,MATCH(H171,Stage_Names,0)),"")</f>
        <v/>
      </c>
      <c r="O171" s="29">
        <f>IF(OR(H171="",L171=""),"",IF(N171="مفتوح",TODAY()-L171,M171-L171))</f>
        <v/>
      </c>
      <c r="P171" s="29">
        <f>IF(L171="","",TEXT(L171,"YYYY-MM"))</f>
        <v/>
      </c>
      <c r="Q171" s="43" t="n"/>
    </row>
    <row r="172">
      <c r="A172" s="36">
        <f>IF(B172="","",ROW()-2)</f>
        <v/>
      </c>
      <c r="B172" s="45" t="n"/>
      <c r="C172" s="45" t="n"/>
      <c r="D172" s="45" t="n"/>
      <c r="E172" s="45" t="n"/>
      <c r="F172" s="46" t="n"/>
      <c r="G172" s="46" t="n"/>
      <c r="H172" s="46" t="n"/>
      <c r="I172" s="46" t="n"/>
      <c r="J172" s="40">
        <f>IFERROR(INDEX(Stage_Prob,MATCH(H172,Stage_Names,0)),"")</f>
        <v/>
      </c>
      <c r="K172" s="41">
        <f>IF(OR(H172="",I172=""),"",I172*J172)</f>
        <v/>
      </c>
      <c r="L172" s="46" t="n"/>
      <c r="M172" s="46" t="n"/>
      <c r="N172" s="36">
        <f>IFERROR(INDEX(Stage_Type,MATCH(H172,Stage_Names,0)),"")</f>
        <v/>
      </c>
      <c r="O172" s="36">
        <f>IF(OR(H172="",L172=""),"",IF(N172="مفتوح",TODAY()-L172,M172-L172))</f>
        <v/>
      </c>
      <c r="P172" s="36">
        <f>IF(L172="","",TEXT(L172,"YYYY-MM"))</f>
        <v/>
      </c>
      <c r="Q172" s="45" t="n"/>
    </row>
    <row r="173">
      <c r="A173" s="29">
        <f>IF(B173="","",ROW()-2)</f>
        <v/>
      </c>
      <c r="B173" s="43" t="n"/>
      <c r="C173" s="43" t="n"/>
      <c r="D173" s="43" t="n"/>
      <c r="E173" s="43" t="n"/>
      <c r="F173" s="44" t="n"/>
      <c r="G173" s="44" t="n"/>
      <c r="H173" s="44" t="n"/>
      <c r="I173" s="44" t="n"/>
      <c r="J173" s="33">
        <f>IFERROR(INDEX(Stage_Prob,MATCH(H173,Stage_Names,0)),"")</f>
        <v/>
      </c>
      <c r="K173" s="34">
        <f>IF(OR(H173="",I173=""),"",I173*J173)</f>
        <v/>
      </c>
      <c r="L173" s="44" t="n"/>
      <c r="M173" s="44" t="n"/>
      <c r="N173" s="29">
        <f>IFERROR(INDEX(Stage_Type,MATCH(H173,Stage_Names,0)),"")</f>
        <v/>
      </c>
      <c r="O173" s="29">
        <f>IF(OR(H173="",L173=""),"",IF(N173="مفتوح",TODAY()-L173,M173-L173))</f>
        <v/>
      </c>
      <c r="P173" s="29">
        <f>IF(L173="","",TEXT(L173,"YYYY-MM"))</f>
        <v/>
      </c>
      <c r="Q173" s="43" t="n"/>
    </row>
    <row r="174">
      <c r="A174" s="36">
        <f>IF(B174="","",ROW()-2)</f>
        <v/>
      </c>
      <c r="B174" s="45" t="n"/>
      <c r="C174" s="45" t="n"/>
      <c r="D174" s="45" t="n"/>
      <c r="E174" s="45" t="n"/>
      <c r="F174" s="46" t="n"/>
      <c r="G174" s="46" t="n"/>
      <c r="H174" s="46" t="n"/>
      <c r="I174" s="46" t="n"/>
      <c r="J174" s="40">
        <f>IFERROR(INDEX(Stage_Prob,MATCH(H174,Stage_Names,0)),"")</f>
        <v/>
      </c>
      <c r="K174" s="41">
        <f>IF(OR(H174="",I174=""),"",I174*J174)</f>
        <v/>
      </c>
      <c r="L174" s="46" t="n"/>
      <c r="M174" s="46" t="n"/>
      <c r="N174" s="36">
        <f>IFERROR(INDEX(Stage_Type,MATCH(H174,Stage_Names,0)),"")</f>
        <v/>
      </c>
      <c r="O174" s="36">
        <f>IF(OR(H174="",L174=""),"",IF(N174="مفتوح",TODAY()-L174,M174-L174))</f>
        <v/>
      </c>
      <c r="P174" s="36">
        <f>IF(L174="","",TEXT(L174,"YYYY-MM"))</f>
        <v/>
      </c>
      <c r="Q174" s="45" t="n"/>
    </row>
    <row r="175">
      <c r="A175" s="29">
        <f>IF(B175="","",ROW()-2)</f>
        <v/>
      </c>
      <c r="B175" s="43" t="n"/>
      <c r="C175" s="43" t="n"/>
      <c r="D175" s="43" t="n"/>
      <c r="E175" s="43" t="n"/>
      <c r="F175" s="44" t="n"/>
      <c r="G175" s="44" t="n"/>
      <c r="H175" s="44" t="n"/>
      <c r="I175" s="44" t="n"/>
      <c r="J175" s="33">
        <f>IFERROR(INDEX(Stage_Prob,MATCH(H175,Stage_Names,0)),"")</f>
        <v/>
      </c>
      <c r="K175" s="34">
        <f>IF(OR(H175="",I175=""),"",I175*J175)</f>
        <v/>
      </c>
      <c r="L175" s="44" t="n"/>
      <c r="M175" s="44" t="n"/>
      <c r="N175" s="29">
        <f>IFERROR(INDEX(Stage_Type,MATCH(H175,Stage_Names,0)),"")</f>
        <v/>
      </c>
      <c r="O175" s="29">
        <f>IF(OR(H175="",L175=""),"",IF(N175="مفتوح",TODAY()-L175,M175-L175))</f>
        <v/>
      </c>
      <c r="P175" s="29">
        <f>IF(L175="","",TEXT(L175,"YYYY-MM"))</f>
        <v/>
      </c>
      <c r="Q175" s="43" t="n"/>
    </row>
    <row r="176">
      <c r="A176" s="36">
        <f>IF(B176="","",ROW()-2)</f>
        <v/>
      </c>
      <c r="B176" s="45" t="n"/>
      <c r="C176" s="45" t="n"/>
      <c r="D176" s="45" t="n"/>
      <c r="E176" s="45" t="n"/>
      <c r="F176" s="46" t="n"/>
      <c r="G176" s="46" t="n"/>
      <c r="H176" s="46" t="n"/>
      <c r="I176" s="46" t="n"/>
      <c r="J176" s="40">
        <f>IFERROR(INDEX(Stage_Prob,MATCH(H176,Stage_Names,0)),"")</f>
        <v/>
      </c>
      <c r="K176" s="41">
        <f>IF(OR(H176="",I176=""),"",I176*J176)</f>
        <v/>
      </c>
      <c r="L176" s="46" t="n"/>
      <c r="M176" s="46" t="n"/>
      <c r="N176" s="36">
        <f>IFERROR(INDEX(Stage_Type,MATCH(H176,Stage_Names,0)),"")</f>
        <v/>
      </c>
      <c r="O176" s="36">
        <f>IF(OR(H176="",L176=""),"",IF(N176="مفتوح",TODAY()-L176,M176-L176))</f>
        <v/>
      </c>
      <c r="P176" s="36">
        <f>IF(L176="","",TEXT(L176,"YYYY-MM"))</f>
        <v/>
      </c>
      <c r="Q176" s="45" t="n"/>
    </row>
    <row r="177">
      <c r="A177" s="29">
        <f>IF(B177="","",ROW()-2)</f>
        <v/>
      </c>
      <c r="B177" s="43" t="n"/>
      <c r="C177" s="43" t="n"/>
      <c r="D177" s="43" t="n"/>
      <c r="E177" s="43" t="n"/>
      <c r="F177" s="44" t="n"/>
      <c r="G177" s="44" t="n"/>
      <c r="H177" s="44" t="n"/>
      <c r="I177" s="44" t="n"/>
      <c r="J177" s="33">
        <f>IFERROR(INDEX(Stage_Prob,MATCH(H177,Stage_Names,0)),"")</f>
        <v/>
      </c>
      <c r="K177" s="34">
        <f>IF(OR(H177="",I177=""),"",I177*J177)</f>
        <v/>
      </c>
      <c r="L177" s="44" t="n"/>
      <c r="M177" s="44" t="n"/>
      <c r="N177" s="29">
        <f>IFERROR(INDEX(Stage_Type,MATCH(H177,Stage_Names,0)),"")</f>
        <v/>
      </c>
      <c r="O177" s="29">
        <f>IF(OR(H177="",L177=""),"",IF(N177="مفتوح",TODAY()-L177,M177-L177))</f>
        <v/>
      </c>
      <c r="P177" s="29">
        <f>IF(L177="","",TEXT(L177,"YYYY-MM"))</f>
        <v/>
      </c>
      <c r="Q177" s="43" t="n"/>
    </row>
    <row r="178">
      <c r="A178" s="36">
        <f>IF(B178="","",ROW()-2)</f>
        <v/>
      </c>
      <c r="B178" s="45" t="n"/>
      <c r="C178" s="45" t="n"/>
      <c r="D178" s="45" t="n"/>
      <c r="E178" s="45" t="n"/>
      <c r="F178" s="46" t="n"/>
      <c r="G178" s="46" t="n"/>
      <c r="H178" s="46" t="n"/>
      <c r="I178" s="46" t="n"/>
      <c r="J178" s="40">
        <f>IFERROR(INDEX(Stage_Prob,MATCH(H178,Stage_Names,0)),"")</f>
        <v/>
      </c>
      <c r="K178" s="41">
        <f>IF(OR(H178="",I178=""),"",I178*J178)</f>
        <v/>
      </c>
      <c r="L178" s="46" t="n"/>
      <c r="M178" s="46" t="n"/>
      <c r="N178" s="36">
        <f>IFERROR(INDEX(Stage_Type,MATCH(H178,Stage_Names,0)),"")</f>
        <v/>
      </c>
      <c r="O178" s="36">
        <f>IF(OR(H178="",L178=""),"",IF(N178="مفتوح",TODAY()-L178,M178-L178))</f>
        <v/>
      </c>
      <c r="P178" s="36">
        <f>IF(L178="","",TEXT(L178,"YYYY-MM"))</f>
        <v/>
      </c>
      <c r="Q178" s="45" t="n"/>
    </row>
    <row r="179">
      <c r="A179" s="29">
        <f>IF(B179="","",ROW()-2)</f>
        <v/>
      </c>
      <c r="B179" s="43" t="n"/>
      <c r="C179" s="43" t="n"/>
      <c r="D179" s="43" t="n"/>
      <c r="E179" s="43" t="n"/>
      <c r="F179" s="44" t="n"/>
      <c r="G179" s="44" t="n"/>
      <c r="H179" s="44" t="n"/>
      <c r="I179" s="44" t="n"/>
      <c r="J179" s="33">
        <f>IFERROR(INDEX(Stage_Prob,MATCH(H179,Stage_Names,0)),"")</f>
        <v/>
      </c>
      <c r="K179" s="34">
        <f>IF(OR(H179="",I179=""),"",I179*J179)</f>
        <v/>
      </c>
      <c r="L179" s="44" t="n"/>
      <c r="M179" s="44" t="n"/>
      <c r="N179" s="29">
        <f>IFERROR(INDEX(Stage_Type,MATCH(H179,Stage_Names,0)),"")</f>
        <v/>
      </c>
      <c r="O179" s="29">
        <f>IF(OR(H179="",L179=""),"",IF(N179="مفتوح",TODAY()-L179,M179-L179))</f>
        <v/>
      </c>
      <c r="P179" s="29">
        <f>IF(L179="","",TEXT(L179,"YYYY-MM"))</f>
        <v/>
      </c>
      <c r="Q179" s="43" t="n"/>
    </row>
    <row r="180">
      <c r="A180" s="36">
        <f>IF(B180="","",ROW()-2)</f>
        <v/>
      </c>
      <c r="B180" s="45" t="n"/>
      <c r="C180" s="45" t="n"/>
      <c r="D180" s="45" t="n"/>
      <c r="E180" s="45" t="n"/>
      <c r="F180" s="46" t="n"/>
      <c r="G180" s="46" t="n"/>
      <c r="H180" s="46" t="n"/>
      <c r="I180" s="46" t="n"/>
      <c r="J180" s="40">
        <f>IFERROR(INDEX(Stage_Prob,MATCH(H180,Stage_Names,0)),"")</f>
        <v/>
      </c>
      <c r="K180" s="41">
        <f>IF(OR(H180="",I180=""),"",I180*J180)</f>
        <v/>
      </c>
      <c r="L180" s="46" t="n"/>
      <c r="M180" s="46" t="n"/>
      <c r="N180" s="36">
        <f>IFERROR(INDEX(Stage_Type,MATCH(H180,Stage_Names,0)),"")</f>
        <v/>
      </c>
      <c r="O180" s="36">
        <f>IF(OR(H180="",L180=""),"",IF(N180="مفتوح",TODAY()-L180,M180-L180))</f>
        <v/>
      </c>
      <c r="P180" s="36">
        <f>IF(L180="","",TEXT(L180,"YYYY-MM"))</f>
        <v/>
      </c>
      <c r="Q180" s="45" t="n"/>
    </row>
    <row r="181">
      <c r="A181" s="29">
        <f>IF(B181="","",ROW()-2)</f>
        <v/>
      </c>
      <c r="B181" s="43" t="n"/>
      <c r="C181" s="43" t="n"/>
      <c r="D181" s="43" t="n"/>
      <c r="E181" s="43" t="n"/>
      <c r="F181" s="44" t="n"/>
      <c r="G181" s="44" t="n"/>
      <c r="H181" s="44" t="n"/>
      <c r="I181" s="44" t="n"/>
      <c r="J181" s="33">
        <f>IFERROR(INDEX(Stage_Prob,MATCH(H181,Stage_Names,0)),"")</f>
        <v/>
      </c>
      <c r="K181" s="34">
        <f>IF(OR(H181="",I181=""),"",I181*J181)</f>
        <v/>
      </c>
      <c r="L181" s="44" t="n"/>
      <c r="M181" s="44" t="n"/>
      <c r="N181" s="29">
        <f>IFERROR(INDEX(Stage_Type,MATCH(H181,Stage_Names,0)),"")</f>
        <v/>
      </c>
      <c r="O181" s="29">
        <f>IF(OR(H181="",L181=""),"",IF(N181="مفتوح",TODAY()-L181,M181-L181))</f>
        <v/>
      </c>
      <c r="P181" s="29">
        <f>IF(L181="","",TEXT(L181,"YYYY-MM"))</f>
        <v/>
      </c>
      <c r="Q181" s="43" t="n"/>
    </row>
    <row r="182">
      <c r="A182" s="36">
        <f>IF(B182="","",ROW()-2)</f>
        <v/>
      </c>
      <c r="B182" s="45" t="n"/>
      <c r="C182" s="45" t="n"/>
      <c r="D182" s="45" t="n"/>
      <c r="E182" s="45" t="n"/>
      <c r="F182" s="46" t="n"/>
      <c r="G182" s="46" t="n"/>
      <c r="H182" s="46" t="n"/>
      <c r="I182" s="46" t="n"/>
      <c r="J182" s="40">
        <f>IFERROR(INDEX(Stage_Prob,MATCH(H182,Stage_Names,0)),"")</f>
        <v/>
      </c>
      <c r="K182" s="41">
        <f>IF(OR(H182="",I182=""),"",I182*J182)</f>
        <v/>
      </c>
      <c r="L182" s="46" t="n"/>
      <c r="M182" s="46" t="n"/>
      <c r="N182" s="36">
        <f>IFERROR(INDEX(Stage_Type,MATCH(H182,Stage_Names,0)),"")</f>
        <v/>
      </c>
      <c r="O182" s="36">
        <f>IF(OR(H182="",L182=""),"",IF(N182="مفتوح",TODAY()-L182,M182-L182))</f>
        <v/>
      </c>
      <c r="P182" s="36">
        <f>IF(L182="","",TEXT(L182,"YYYY-MM"))</f>
        <v/>
      </c>
      <c r="Q182" s="45" t="n"/>
    </row>
    <row r="183">
      <c r="A183" s="29">
        <f>IF(B183="","",ROW()-2)</f>
        <v/>
      </c>
      <c r="B183" s="43" t="n"/>
      <c r="C183" s="43" t="n"/>
      <c r="D183" s="43" t="n"/>
      <c r="E183" s="43" t="n"/>
      <c r="F183" s="44" t="n"/>
      <c r="G183" s="44" t="n"/>
      <c r="H183" s="44" t="n"/>
      <c r="I183" s="44" t="n"/>
      <c r="J183" s="33">
        <f>IFERROR(INDEX(Stage_Prob,MATCH(H183,Stage_Names,0)),"")</f>
        <v/>
      </c>
      <c r="K183" s="34">
        <f>IF(OR(H183="",I183=""),"",I183*J183)</f>
        <v/>
      </c>
      <c r="L183" s="44" t="n"/>
      <c r="M183" s="44" t="n"/>
      <c r="N183" s="29">
        <f>IFERROR(INDEX(Stage_Type,MATCH(H183,Stage_Names,0)),"")</f>
        <v/>
      </c>
      <c r="O183" s="29">
        <f>IF(OR(H183="",L183=""),"",IF(N183="مفتوح",TODAY()-L183,M183-L183))</f>
        <v/>
      </c>
      <c r="P183" s="29">
        <f>IF(L183="","",TEXT(L183,"YYYY-MM"))</f>
        <v/>
      </c>
      <c r="Q183" s="43" t="n"/>
    </row>
    <row r="184">
      <c r="A184" s="36">
        <f>IF(B184="","",ROW()-2)</f>
        <v/>
      </c>
      <c r="B184" s="45" t="n"/>
      <c r="C184" s="45" t="n"/>
      <c r="D184" s="45" t="n"/>
      <c r="E184" s="45" t="n"/>
      <c r="F184" s="46" t="n"/>
      <c r="G184" s="46" t="n"/>
      <c r="H184" s="46" t="n"/>
      <c r="I184" s="46" t="n"/>
      <c r="J184" s="40">
        <f>IFERROR(INDEX(Stage_Prob,MATCH(H184,Stage_Names,0)),"")</f>
        <v/>
      </c>
      <c r="K184" s="41">
        <f>IF(OR(H184="",I184=""),"",I184*J184)</f>
        <v/>
      </c>
      <c r="L184" s="46" t="n"/>
      <c r="M184" s="46" t="n"/>
      <c r="N184" s="36">
        <f>IFERROR(INDEX(Stage_Type,MATCH(H184,Stage_Names,0)),"")</f>
        <v/>
      </c>
      <c r="O184" s="36">
        <f>IF(OR(H184="",L184=""),"",IF(N184="مفتوح",TODAY()-L184,M184-L184))</f>
        <v/>
      </c>
      <c r="P184" s="36">
        <f>IF(L184="","",TEXT(L184,"YYYY-MM"))</f>
        <v/>
      </c>
      <c r="Q184" s="45" t="n"/>
    </row>
    <row r="185">
      <c r="A185" s="29">
        <f>IF(B185="","",ROW()-2)</f>
        <v/>
      </c>
      <c r="B185" s="43" t="n"/>
      <c r="C185" s="43" t="n"/>
      <c r="D185" s="43" t="n"/>
      <c r="E185" s="43" t="n"/>
      <c r="F185" s="44" t="n"/>
      <c r="G185" s="44" t="n"/>
      <c r="H185" s="44" t="n"/>
      <c r="I185" s="44" t="n"/>
      <c r="J185" s="33">
        <f>IFERROR(INDEX(Stage_Prob,MATCH(H185,Stage_Names,0)),"")</f>
        <v/>
      </c>
      <c r="K185" s="34">
        <f>IF(OR(H185="",I185=""),"",I185*J185)</f>
        <v/>
      </c>
      <c r="L185" s="44" t="n"/>
      <c r="M185" s="44" t="n"/>
      <c r="N185" s="29">
        <f>IFERROR(INDEX(Stage_Type,MATCH(H185,Stage_Names,0)),"")</f>
        <v/>
      </c>
      <c r="O185" s="29">
        <f>IF(OR(H185="",L185=""),"",IF(N185="مفتوح",TODAY()-L185,M185-L185))</f>
        <v/>
      </c>
      <c r="P185" s="29">
        <f>IF(L185="","",TEXT(L185,"YYYY-MM"))</f>
        <v/>
      </c>
      <c r="Q185" s="43" t="n"/>
    </row>
    <row r="186">
      <c r="A186" s="36">
        <f>IF(B186="","",ROW()-2)</f>
        <v/>
      </c>
      <c r="B186" s="45" t="n"/>
      <c r="C186" s="45" t="n"/>
      <c r="D186" s="45" t="n"/>
      <c r="E186" s="45" t="n"/>
      <c r="F186" s="46" t="n"/>
      <c r="G186" s="46" t="n"/>
      <c r="H186" s="46" t="n"/>
      <c r="I186" s="46" t="n"/>
      <c r="J186" s="40">
        <f>IFERROR(INDEX(Stage_Prob,MATCH(H186,Stage_Names,0)),"")</f>
        <v/>
      </c>
      <c r="K186" s="41">
        <f>IF(OR(H186="",I186=""),"",I186*J186)</f>
        <v/>
      </c>
      <c r="L186" s="46" t="n"/>
      <c r="M186" s="46" t="n"/>
      <c r="N186" s="36">
        <f>IFERROR(INDEX(Stage_Type,MATCH(H186,Stage_Names,0)),"")</f>
        <v/>
      </c>
      <c r="O186" s="36">
        <f>IF(OR(H186="",L186=""),"",IF(N186="مفتوح",TODAY()-L186,M186-L186))</f>
        <v/>
      </c>
      <c r="P186" s="36">
        <f>IF(L186="","",TEXT(L186,"YYYY-MM"))</f>
        <v/>
      </c>
      <c r="Q186" s="45" t="n"/>
    </row>
    <row r="187">
      <c r="A187" s="29">
        <f>IF(B187="","",ROW()-2)</f>
        <v/>
      </c>
      <c r="B187" s="43" t="n"/>
      <c r="C187" s="43" t="n"/>
      <c r="D187" s="43" t="n"/>
      <c r="E187" s="43" t="n"/>
      <c r="F187" s="44" t="n"/>
      <c r="G187" s="44" t="n"/>
      <c r="H187" s="44" t="n"/>
      <c r="I187" s="44" t="n"/>
      <c r="J187" s="33">
        <f>IFERROR(INDEX(Stage_Prob,MATCH(H187,Stage_Names,0)),"")</f>
        <v/>
      </c>
      <c r="K187" s="34">
        <f>IF(OR(H187="",I187=""),"",I187*J187)</f>
        <v/>
      </c>
      <c r="L187" s="44" t="n"/>
      <c r="M187" s="44" t="n"/>
      <c r="N187" s="29">
        <f>IFERROR(INDEX(Stage_Type,MATCH(H187,Stage_Names,0)),"")</f>
        <v/>
      </c>
      <c r="O187" s="29">
        <f>IF(OR(H187="",L187=""),"",IF(N187="مفتوح",TODAY()-L187,M187-L187))</f>
        <v/>
      </c>
      <c r="P187" s="29">
        <f>IF(L187="","",TEXT(L187,"YYYY-MM"))</f>
        <v/>
      </c>
      <c r="Q187" s="43" t="n"/>
    </row>
    <row r="188">
      <c r="A188" s="36">
        <f>IF(B188="","",ROW()-2)</f>
        <v/>
      </c>
      <c r="B188" s="45" t="n"/>
      <c r="C188" s="45" t="n"/>
      <c r="D188" s="45" t="n"/>
      <c r="E188" s="45" t="n"/>
      <c r="F188" s="46" t="n"/>
      <c r="G188" s="46" t="n"/>
      <c r="H188" s="46" t="n"/>
      <c r="I188" s="46" t="n"/>
      <c r="J188" s="40">
        <f>IFERROR(INDEX(Stage_Prob,MATCH(H188,Stage_Names,0)),"")</f>
        <v/>
      </c>
      <c r="K188" s="41">
        <f>IF(OR(H188="",I188=""),"",I188*J188)</f>
        <v/>
      </c>
      <c r="L188" s="46" t="n"/>
      <c r="M188" s="46" t="n"/>
      <c r="N188" s="36">
        <f>IFERROR(INDEX(Stage_Type,MATCH(H188,Stage_Names,0)),"")</f>
        <v/>
      </c>
      <c r="O188" s="36">
        <f>IF(OR(H188="",L188=""),"",IF(N188="مفتوح",TODAY()-L188,M188-L188))</f>
        <v/>
      </c>
      <c r="P188" s="36">
        <f>IF(L188="","",TEXT(L188,"YYYY-MM"))</f>
        <v/>
      </c>
      <c r="Q188" s="45" t="n"/>
    </row>
    <row r="189">
      <c r="A189" s="29">
        <f>IF(B189="","",ROW()-2)</f>
        <v/>
      </c>
      <c r="B189" s="43" t="n"/>
      <c r="C189" s="43" t="n"/>
      <c r="D189" s="43" t="n"/>
      <c r="E189" s="43" t="n"/>
      <c r="F189" s="44" t="n"/>
      <c r="G189" s="44" t="n"/>
      <c r="H189" s="44" t="n"/>
      <c r="I189" s="44" t="n"/>
      <c r="J189" s="33">
        <f>IFERROR(INDEX(Stage_Prob,MATCH(H189,Stage_Names,0)),"")</f>
        <v/>
      </c>
      <c r="K189" s="34">
        <f>IF(OR(H189="",I189=""),"",I189*J189)</f>
        <v/>
      </c>
      <c r="L189" s="44" t="n"/>
      <c r="M189" s="44" t="n"/>
      <c r="N189" s="29">
        <f>IFERROR(INDEX(Stage_Type,MATCH(H189,Stage_Names,0)),"")</f>
        <v/>
      </c>
      <c r="O189" s="29">
        <f>IF(OR(H189="",L189=""),"",IF(N189="مفتوح",TODAY()-L189,M189-L189))</f>
        <v/>
      </c>
      <c r="P189" s="29">
        <f>IF(L189="","",TEXT(L189,"YYYY-MM"))</f>
        <v/>
      </c>
      <c r="Q189" s="43" t="n"/>
    </row>
    <row r="190">
      <c r="A190" s="36">
        <f>IF(B190="","",ROW()-2)</f>
        <v/>
      </c>
      <c r="B190" s="45" t="n"/>
      <c r="C190" s="45" t="n"/>
      <c r="D190" s="45" t="n"/>
      <c r="E190" s="45" t="n"/>
      <c r="F190" s="46" t="n"/>
      <c r="G190" s="46" t="n"/>
      <c r="H190" s="46" t="n"/>
      <c r="I190" s="46" t="n"/>
      <c r="J190" s="40">
        <f>IFERROR(INDEX(Stage_Prob,MATCH(H190,Stage_Names,0)),"")</f>
        <v/>
      </c>
      <c r="K190" s="41">
        <f>IF(OR(H190="",I190=""),"",I190*J190)</f>
        <v/>
      </c>
      <c r="L190" s="46" t="n"/>
      <c r="M190" s="46" t="n"/>
      <c r="N190" s="36">
        <f>IFERROR(INDEX(Stage_Type,MATCH(H190,Stage_Names,0)),"")</f>
        <v/>
      </c>
      <c r="O190" s="36">
        <f>IF(OR(H190="",L190=""),"",IF(N190="مفتوح",TODAY()-L190,M190-L190))</f>
        <v/>
      </c>
      <c r="P190" s="36">
        <f>IF(L190="","",TEXT(L190,"YYYY-MM"))</f>
        <v/>
      </c>
      <c r="Q190" s="45" t="n"/>
    </row>
    <row r="191">
      <c r="A191" s="29">
        <f>IF(B191="","",ROW()-2)</f>
        <v/>
      </c>
      <c r="B191" s="43" t="n"/>
      <c r="C191" s="43" t="n"/>
      <c r="D191" s="43" t="n"/>
      <c r="E191" s="43" t="n"/>
      <c r="F191" s="44" t="n"/>
      <c r="G191" s="44" t="n"/>
      <c r="H191" s="44" t="n"/>
      <c r="I191" s="44" t="n"/>
      <c r="J191" s="33">
        <f>IFERROR(INDEX(Stage_Prob,MATCH(H191,Stage_Names,0)),"")</f>
        <v/>
      </c>
      <c r="K191" s="34">
        <f>IF(OR(H191="",I191=""),"",I191*J191)</f>
        <v/>
      </c>
      <c r="L191" s="44" t="n"/>
      <c r="M191" s="44" t="n"/>
      <c r="N191" s="29">
        <f>IFERROR(INDEX(Stage_Type,MATCH(H191,Stage_Names,0)),"")</f>
        <v/>
      </c>
      <c r="O191" s="29">
        <f>IF(OR(H191="",L191=""),"",IF(N191="مفتوح",TODAY()-L191,M191-L191))</f>
        <v/>
      </c>
      <c r="P191" s="29">
        <f>IF(L191="","",TEXT(L191,"YYYY-MM"))</f>
        <v/>
      </c>
      <c r="Q191" s="43" t="n"/>
    </row>
    <row r="192">
      <c r="A192" s="36">
        <f>IF(B192="","",ROW()-2)</f>
        <v/>
      </c>
      <c r="B192" s="45" t="n"/>
      <c r="C192" s="45" t="n"/>
      <c r="D192" s="45" t="n"/>
      <c r="E192" s="45" t="n"/>
      <c r="F192" s="46" t="n"/>
      <c r="G192" s="46" t="n"/>
      <c r="H192" s="46" t="n"/>
      <c r="I192" s="46" t="n"/>
      <c r="J192" s="40">
        <f>IFERROR(INDEX(Stage_Prob,MATCH(H192,Stage_Names,0)),"")</f>
        <v/>
      </c>
      <c r="K192" s="41">
        <f>IF(OR(H192="",I192=""),"",I192*J192)</f>
        <v/>
      </c>
      <c r="L192" s="46" t="n"/>
      <c r="M192" s="46" t="n"/>
      <c r="N192" s="36">
        <f>IFERROR(INDEX(Stage_Type,MATCH(H192,Stage_Names,0)),"")</f>
        <v/>
      </c>
      <c r="O192" s="36">
        <f>IF(OR(H192="",L192=""),"",IF(N192="مفتوح",TODAY()-L192,M192-L192))</f>
        <v/>
      </c>
      <c r="P192" s="36">
        <f>IF(L192="","",TEXT(L192,"YYYY-MM"))</f>
        <v/>
      </c>
      <c r="Q192" s="45" t="n"/>
    </row>
    <row r="193">
      <c r="A193" s="29">
        <f>IF(B193="","",ROW()-2)</f>
        <v/>
      </c>
      <c r="B193" s="43" t="n"/>
      <c r="C193" s="43" t="n"/>
      <c r="D193" s="43" t="n"/>
      <c r="E193" s="43" t="n"/>
      <c r="F193" s="44" t="n"/>
      <c r="G193" s="44" t="n"/>
      <c r="H193" s="44" t="n"/>
      <c r="I193" s="44" t="n"/>
      <c r="J193" s="33">
        <f>IFERROR(INDEX(Stage_Prob,MATCH(H193,Stage_Names,0)),"")</f>
        <v/>
      </c>
      <c r="K193" s="34">
        <f>IF(OR(H193="",I193=""),"",I193*J193)</f>
        <v/>
      </c>
      <c r="L193" s="44" t="n"/>
      <c r="M193" s="44" t="n"/>
      <c r="N193" s="29">
        <f>IFERROR(INDEX(Stage_Type,MATCH(H193,Stage_Names,0)),"")</f>
        <v/>
      </c>
      <c r="O193" s="29">
        <f>IF(OR(H193="",L193=""),"",IF(N193="مفتوح",TODAY()-L193,M193-L193))</f>
        <v/>
      </c>
      <c r="P193" s="29">
        <f>IF(L193="","",TEXT(L193,"YYYY-MM"))</f>
        <v/>
      </c>
      <c r="Q193" s="43" t="n"/>
    </row>
    <row r="194">
      <c r="A194" s="36">
        <f>IF(B194="","",ROW()-2)</f>
        <v/>
      </c>
      <c r="B194" s="45" t="n"/>
      <c r="C194" s="45" t="n"/>
      <c r="D194" s="45" t="n"/>
      <c r="E194" s="45" t="n"/>
      <c r="F194" s="46" t="n"/>
      <c r="G194" s="46" t="n"/>
      <c r="H194" s="46" t="n"/>
      <c r="I194" s="46" t="n"/>
      <c r="J194" s="40">
        <f>IFERROR(INDEX(Stage_Prob,MATCH(H194,Stage_Names,0)),"")</f>
        <v/>
      </c>
      <c r="K194" s="41">
        <f>IF(OR(H194="",I194=""),"",I194*J194)</f>
        <v/>
      </c>
      <c r="L194" s="46" t="n"/>
      <c r="M194" s="46" t="n"/>
      <c r="N194" s="36">
        <f>IFERROR(INDEX(Stage_Type,MATCH(H194,Stage_Names,0)),"")</f>
        <v/>
      </c>
      <c r="O194" s="36">
        <f>IF(OR(H194="",L194=""),"",IF(N194="مفتوح",TODAY()-L194,M194-L194))</f>
        <v/>
      </c>
      <c r="P194" s="36">
        <f>IF(L194="","",TEXT(L194,"YYYY-MM"))</f>
        <v/>
      </c>
      <c r="Q194" s="45" t="n"/>
    </row>
    <row r="195">
      <c r="A195" s="29">
        <f>IF(B195="","",ROW()-2)</f>
        <v/>
      </c>
      <c r="B195" s="43" t="n"/>
      <c r="C195" s="43" t="n"/>
      <c r="D195" s="43" t="n"/>
      <c r="E195" s="43" t="n"/>
      <c r="F195" s="44" t="n"/>
      <c r="G195" s="44" t="n"/>
      <c r="H195" s="44" t="n"/>
      <c r="I195" s="44" t="n"/>
      <c r="J195" s="33">
        <f>IFERROR(INDEX(Stage_Prob,MATCH(H195,Stage_Names,0)),"")</f>
        <v/>
      </c>
      <c r="K195" s="34">
        <f>IF(OR(H195="",I195=""),"",I195*J195)</f>
        <v/>
      </c>
      <c r="L195" s="44" t="n"/>
      <c r="M195" s="44" t="n"/>
      <c r="N195" s="29">
        <f>IFERROR(INDEX(Stage_Type,MATCH(H195,Stage_Names,0)),"")</f>
        <v/>
      </c>
      <c r="O195" s="29">
        <f>IF(OR(H195="",L195=""),"",IF(N195="مفتوح",TODAY()-L195,M195-L195))</f>
        <v/>
      </c>
      <c r="P195" s="29">
        <f>IF(L195="","",TEXT(L195,"YYYY-MM"))</f>
        <v/>
      </c>
      <c r="Q195" s="43" t="n"/>
    </row>
    <row r="196">
      <c r="A196" s="36">
        <f>IF(B196="","",ROW()-2)</f>
        <v/>
      </c>
      <c r="B196" s="45" t="n"/>
      <c r="C196" s="45" t="n"/>
      <c r="D196" s="45" t="n"/>
      <c r="E196" s="45" t="n"/>
      <c r="F196" s="46" t="n"/>
      <c r="G196" s="46" t="n"/>
      <c r="H196" s="46" t="n"/>
      <c r="I196" s="46" t="n"/>
      <c r="J196" s="40">
        <f>IFERROR(INDEX(Stage_Prob,MATCH(H196,Stage_Names,0)),"")</f>
        <v/>
      </c>
      <c r="K196" s="41">
        <f>IF(OR(H196="",I196=""),"",I196*J196)</f>
        <v/>
      </c>
      <c r="L196" s="46" t="n"/>
      <c r="M196" s="46" t="n"/>
      <c r="N196" s="36">
        <f>IFERROR(INDEX(Stage_Type,MATCH(H196,Stage_Names,0)),"")</f>
        <v/>
      </c>
      <c r="O196" s="36">
        <f>IF(OR(H196="",L196=""),"",IF(N196="مفتوح",TODAY()-L196,M196-L196))</f>
        <v/>
      </c>
      <c r="P196" s="36">
        <f>IF(L196="","",TEXT(L196,"YYYY-MM"))</f>
        <v/>
      </c>
      <c r="Q196" s="45" t="n"/>
    </row>
    <row r="197">
      <c r="A197" s="29">
        <f>IF(B197="","",ROW()-2)</f>
        <v/>
      </c>
      <c r="B197" s="43" t="n"/>
      <c r="C197" s="43" t="n"/>
      <c r="D197" s="43" t="n"/>
      <c r="E197" s="43" t="n"/>
      <c r="F197" s="44" t="n"/>
      <c r="G197" s="44" t="n"/>
      <c r="H197" s="44" t="n"/>
      <c r="I197" s="44" t="n"/>
      <c r="J197" s="33">
        <f>IFERROR(INDEX(Stage_Prob,MATCH(H197,Stage_Names,0)),"")</f>
        <v/>
      </c>
      <c r="K197" s="34">
        <f>IF(OR(H197="",I197=""),"",I197*J197)</f>
        <v/>
      </c>
      <c r="L197" s="44" t="n"/>
      <c r="M197" s="44" t="n"/>
      <c r="N197" s="29">
        <f>IFERROR(INDEX(Stage_Type,MATCH(H197,Stage_Names,0)),"")</f>
        <v/>
      </c>
      <c r="O197" s="29">
        <f>IF(OR(H197="",L197=""),"",IF(N197="مفتوح",TODAY()-L197,M197-L197))</f>
        <v/>
      </c>
      <c r="P197" s="29">
        <f>IF(L197="","",TEXT(L197,"YYYY-MM"))</f>
        <v/>
      </c>
      <c r="Q197" s="43" t="n"/>
    </row>
    <row r="198">
      <c r="A198" s="36">
        <f>IF(B198="","",ROW()-2)</f>
        <v/>
      </c>
      <c r="B198" s="45" t="n"/>
      <c r="C198" s="45" t="n"/>
      <c r="D198" s="45" t="n"/>
      <c r="E198" s="45" t="n"/>
      <c r="F198" s="46" t="n"/>
      <c r="G198" s="46" t="n"/>
      <c r="H198" s="46" t="n"/>
      <c r="I198" s="46" t="n"/>
      <c r="J198" s="40">
        <f>IFERROR(INDEX(Stage_Prob,MATCH(H198,Stage_Names,0)),"")</f>
        <v/>
      </c>
      <c r="K198" s="41">
        <f>IF(OR(H198="",I198=""),"",I198*J198)</f>
        <v/>
      </c>
      <c r="L198" s="46" t="n"/>
      <c r="M198" s="46" t="n"/>
      <c r="N198" s="36">
        <f>IFERROR(INDEX(Stage_Type,MATCH(H198,Stage_Names,0)),"")</f>
        <v/>
      </c>
      <c r="O198" s="36">
        <f>IF(OR(H198="",L198=""),"",IF(N198="مفتوح",TODAY()-L198,M198-L198))</f>
        <v/>
      </c>
      <c r="P198" s="36">
        <f>IF(L198="","",TEXT(L198,"YYYY-MM"))</f>
        <v/>
      </c>
      <c r="Q198" s="45" t="n"/>
    </row>
    <row r="199">
      <c r="A199" s="29">
        <f>IF(B199="","",ROW()-2)</f>
        <v/>
      </c>
      <c r="B199" s="43" t="n"/>
      <c r="C199" s="43" t="n"/>
      <c r="D199" s="43" t="n"/>
      <c r="E199" s="43" t="n"/>
      <c r="F199" s="44" t="n"/>
      <c r="G199" s="44" t="n"/>
      <c r="H199" s="44" t="n"/>
      <c r="I199" s="44" t="n"/>
      <c r="J199" s="33">
        <f>IFERROR(INDEX(Stage_Prob,MATCH(H199,Stage_Names,0)),"")</f>
        <v/>
      </c>
      <c r="K199" s="34">
        <f>IF(OR(H199="",I199=""),"",I199*J199)</f>
        <v/>
      </c>
      <c r="L199" s="44" t="n"/>
      <c r="M199" s="44" t="n"/>
      <c r="N199" s="29">
        <f>IFERROR(INDEX(Stage_Type,MATCH(H199,Stage_Names,0)),"")</f>
        <v/>
      </c>
      <c r="O199" s="29">
        <f>IF(OR(H199="",L199=""),"",IF(N199="مفتوح",TODAY()-L199,M199-L199))</f>
        <v/>
      </c>
      <c r="P199" s="29">
        <f>IF(L199="","",TEXT(L199,"YYYY-MM"))</f>
        <v/>
      </c>
      <c r="Q199" s="43" t="n"/>
    </row>
    <row r="200">
      <c r="A200" s="36">
        <f>IF(B200="","",ROW()-2)</f>
        <v/>
      </c>
      <c r="B200" s="45" t="n"/>
      <c r="C200" s="45" t="n"/>
      <c r="D200" s="45" t="n"/>
      <c r="E200" s="45" t="n"/>
      <c r="F200" s="46" t="n"/>
      <c r="G200" s="46" t="n"/>
      <c r="H200" s="46" t="n"/>
      <c r="I200" s="46" t="n"/>
      <c r="J200" s="40">
        <f>IFERROR(INDEX(Stage_Prob,MATCH(H200,Stage_Names,0)),"")</f>
        <v/>
      </c>
      <c r="K200" s="41">
        <f>IF(OR(H200="",I200=""),"",I200*J200)</f>
        <v/>
      </c>
      <c r="L200" s="46" t="n"/>
      <c r="M200" s="46" t="n"/>
      <c r="N200" s="36">
        <f>IFERROR(INDEX(Stage_Type,MATCH(H200,Stage_Names,0)),"")</f>
        <v/>
      </c>
      <c r="O200" s="36">
        <f>IF(OR(H200="",L200=""),"",IF(N200="مفتوح",TODAY()-L200,M200-L200))</f>
        <v/>
      </c>
      <c r="P200" s="36">
        <f>IF(L200="","",TEXT(L200,"YYYY-MM"))</f>
        <v/>
      </c>
      <c r="Q200" s="45" t="n"/>
    </row>
    <row r="201">
      <c r="A201" s="29">
        <f>IF(B201="","",ROW()-2)</f>
        <v/>
      </c>
      <c r="B201" s="43" t="n"/>
      <c r="C201" s="43" t="n"/>
      <c r="D201" s="43" t="n"/>
      <c r="E201" s="43" t="n"/>
      <c r="F201" s="44" t="n"/>
      <c r="G201" s="44" t="n"/>
      <c r="H201" s="44" t="n"/>
      <c r="I201" s="44" t="n"/>
      <c r="J201" s="33">
        <f>IFERROR(INDEX(Stage_Prob,MATCH(H201,Stage_Names,0)),"")</f>
        <v/>
      </c>
      <c r="K201" s="34">
        <f>IF(OR(H201="",I201=""),"",I201*J201)</f>
        <v/>
      </c>
      <c r="L201" s="44" t="n"/>
      <c r="M201" s="44" t="n"/>
      <c r="N201" s="29">
        <f>IFERROR(INDEX(Stage_Type,MATCH(H201,Stage_Names,0)),"")</f>
        <v/>
      </c>
      <c r="O201" s="29">
        <f>IF(OR(H201="",L201=""),"",IF(N201="مفتوح",TODAY()-L201,M201-L201))</f>
        <v/>
      </c>
      <c r="P201" s="29">
        <f>IF(L201="","",TEXT(L201,"YYYY-MM"))</f>
        <v/>
      </c>
      <c r="Q201" s="43" t="n"/>
    </row>
    <row r="202">
      <c r="A202" s="36">
        <f>IF(B202="","",ROW()-2)</f>
        <v/>
      </c>
      <c r="B202" s="45" t="n"/>
      <c r="C202" s="45" t="n"/>
      <c r="D202" s="45" t="n"/>
      <c r="E202" s="45" t="n"/>
      <c r="F202" s="46" t="n"/>
      <c r="G202" s="46" t="n"/>
      <c r="H202" s="46" t="n"/>
      <c r="I202" s="46" t="n"/>
      <c r="J202" s="40">
        <f>IFERROR(INDEX(Stage_Prob,MATCH(H202,Stage_Names,0)),"")</f>
        <v/>
      </c>
      <c r="K202" s="41">
        <f>IF(OR(H202="",I202=""),"",I202*J202)</f>
        <v/>
      </c>
      <c r="L202" s="46" t="n"/>
      <c r="M202" s="46" t="n"/>
      <c r="N202" s="36">
        <f>IFERROR(INDEX(Stage_Type,MATCH(H202,Stage_Names,0)),"")</f>
        <v/>
      </c>
      <c r="O202" s="36">
        <f>IF(OR(H202="",L202=""),"",IF(N202="مفتوح",TODAY()-L202,M202-L202))</f>
        <v/>
      </c>
      <c r="P202" s="36">
        <f>IF(L202="","",TEXT(L202,"YYYY-MM"))</f>
        <v/>
      </c>
      <c r="Q202" s="45" t="n"/>
    </row>
    <row r="203">
      <c r="A203" s="29">
        <f>IF(B203="","",ROW()-2)</f>
        <v/>
      </c>
      <c r="B203" s="43" t="n"/>
      <c r="C203" s="43" t="n"/>
      <c r="D203" s="43" t="n"/>
      <c r="E203" s="43" t="n"/>
      <c r="F203" s="44" t="n"/>
      <c r="G203" s="44" t="n"/>
      <c r="H203" s="44" t="n"/>
      <c r="I203" s="44" t="n"/>
      <c r="J203" s="33">
        <f>IFERROR(INDEX(Stage_Prob,MATCH(H203,Stage_Names,0)),"")</f>
        <v/>
      </c>
      <c r="K203" s="34">
        <f>IF(OR(H203="",I203=""),"",I203*J203)</f>
        <v/>
      </c>
      <c r="L203" s="44" t="n"/>
      <c r="M203" s="44" t="n"/>
      <c r="N203" s="29">
        <f>IFERROR(INDEX(Stage_Type,MATCH(H203,Stage_Names,0)),"")</f>
        <v/>
      </c>
      <c r="O203" s="29">
        <f>IF(OR(H203="",L203=""),"",IF(N203="مفتوح",TODAY()-L203,M203-L203))</f>
        <v/>
      </c>
      <c r="P203" s="29">
        <f>IF(L203="","",TEXT(L203,"YYYY-MM"))</f>
        <v/>
      </c>
      <c r="Q203" s="43" t="n"/>
    </row>
    <row r="204">
      <c r="A204" s="36">
        <f>IF(B204="","",ROW()-2)</f>
        <v/>
      </c>
      <c r="B204" s="45" t="n"/>
      <c r="C204" s="45" t="n"/>
      <c r="D204" s="45" t="n"/>
      <c r="E204" s="45" t="n"/>
      <c r="F204" s="46" t="n"/>
      <c r="G204" s="46" t="n"/>
      <c r="H204" s="46" t="n"/>
      <c r="I204" s="46" t="n"/>
      <c r="J204" s="40">
        <f>IFERROR(INDEX(Stage_Prob,MATCH(H204,Stage_Names,0)),"")</f>
        <v/>
      </c>
      <c r="K204" s="41">
        <f>IF(OR(H204="",I204=""),"",I204*J204)</f>
        <v/>
      </c>
      <c r="L204" s="46" t="n"/>
      <c r="M204" s="46" t="n"/>
      <c r="N204" s="36">
        <f>IFERROR(INDEX(Stage_Type,MATCH(H204,Stage_Names,0)),"")</f>
        <v/>
      </c>
      <c r="O204" s="36">
        <f>IF(OR(H204="",L204=""),"",IF(N204="مفتوح",TODAY()-L204,M204-L204))</f>
        <v/>
      </c>
      <c r="P204" s="36">
        <f>IF(L204="","",TEXT(L204,"YYYY-MM"))</f>
        <v/>
      </c>
      <c r="Q204" s="45" t="n"/>
    </row>
    <row r="205">
      <c r="A205" s="29">
        <f>IF(B205="","",ROW()-2)</f>
        <v/>
      </c>
      <c r="B205" s="43" t="n"/>
      <c r="C205" s="43" t="n"/>
      <c r="D205" s="43" t="n"/>
      <c r="E205" s="43" t="n"/>
      <c r="F205" s="44" t="n"/>
      <c r="G205" s="44" t="n"/>
      <c r="H205" s="44" t="n"/>
      <c r="I205" s="44" t="n"/>
      <c r="J205" s="33">
        <f>IFERROR(INDEX(Stage_Prob,MATCH(H205,Stage_Names,0)),"")</f>
        <v/>
      </c>
      <c r="K205" s="34">
        <f>IF(OR(H205="",I205=""),"",I205*J205)</f>
        <v/>
      </c>
      <c r="L205" s="44" t="n"/>
      <c r="M205" s="44" t="n"/>
      <c r="N205" s="29">
        <f>IFERROR(INDEX(Stage_Type,MATCH(H205,Stage_Names,0)),"")</f>
        <v/>
      </c>
      <c r="O205" s="29">
        <f>IF(OR(H205="",L205=""),"",IF(N205="مفتوح",TODAY()-L205,M205-L205))</f>
        <v/>
      </c>
      <c r="P205" s="29">
        <f>IF(L205="","",TEXT(L205,"YYYY-MM"))</f>
        <v/>
      </c>
      <c r="Q205" s="43" t="n"/>
    </row>
    <row r="206">
      <c r="A206" s="36">
        <f>IF(B206="","",ROW()-2)</f>
        <v/>
      </c>
      <c r="B206" s="45" t="n"/>
      <c r="C206" s="45" t="n"/>
      <c r="D206" s="45" t="n"/>
      <c r="E206" s="45" t="n"/>
      <c r="F206" s="46" t="n"/>
      <c r="G206" s="46" t="n"/>
      <c r="H206" s="46" t="n"/>
      <c r="I206" s="46" t="n"/>
      <c r="J206" s="40">
        <f>IFERROR(INDEX(Stage_Prob,MATCH(H206,Stage_Names,0)),"")</f>
        <v/>
      </c>
      <c r="K206" s="41">
        <f>IF(OR(H206="",I206=""),"",I206*J206)</f>
        <v/>
      </c>
      <c r="L206" s="46" t="n"/>
      <c r="M206" s="46" t="n"/>
      <c r="N206" s="36">
        <f>IFERROR(INDEX(Stage_Type,MATCH(H206,Stage_Names,0)),"")</f>
        <v/>
      </c>
      <c r="O206" s="36">
        <f>IF(OR(H206="",L206=""),"",IF(N206="مفتوح",TODAY()-L206,M206-L206))</f>
        <v/>
      </c>
      <c r="P206" s="36">
        <f>IF(L206="","",TEXT(L206,"YYYY-MM"))</f>
        <v/>
      </c>
      <c r="Q206" s="45" t="n"/>
    </row>
    <row r="207">
      <c r="A207" s="29">
        <f>IF(B207="","",ROW()-2)</f>
        <v/>
      </c>
      <c r="B207" s="43" t="n"/>
      <c r="C207" s="43" t="n"/>
      <c r="D207" s="43" t="n"/>
      <c r="E207" s="43" t="n"/>
      <c r="F207" s="44" t="n"/>
      <c r="G207" s="44" t="n"/>
      <c r="H207" s="44" t="n"/>
      <c r="I207" s="44" t="n"/>
      <c r="J207" s="33">
        <f>IFERROR(INDEX(Stage_Prob,MATCH(H207,Stage_Names,0)),"")</f>
        <v/>
      </c>
      <c r="K207" s="34">
        <f>IF(OR(H207="",I207=""),"",I207*J207)</f>
        <v/>
      </c>
      <c r="L207" s="44" t="n"/>
      <c r="M207" s="44" t="n"/>
      <c r="N207" s="29">
        <f>IFERROR(INDEX(Stage_Type,MATCH(H207,Stage_Names,0)),"")</f>
        <v/>
      </c>
      <c r="O207" s="29">
        <f>IF(OR(H207="",L207=""),"",IF(N207="مفتوح",TODAY()-L207,M207-L207))</f>
        <v/>
      </c>
      <c r="P207" s="29">
        <f>IF(L207="","",TEXT(L207,"YYYY-MM"))</f>
        <v/>
      </c>
      <c r="Q207" s="43" t="n"/>
    </row>
    <row r="208">
      <c r="A208" s="36">
        <f>IF(B208="","",ROW()-2)</f>
        <v/>
      </c>
      <c r="B208" s="45" t="n"/>
      <c r="C208" s="45" t="n"/>
      <c r="D208" s="45" t="n"/>
      <c r="E208" s="45" t="n"/>
      <c r="F208" s="46" t="n"/>
      <c r="G208" s="46" t="n"/>
      <c r="H208" s="46" t="n"/>
      <c r="I208" s="46" t="n"/>
      <c r="J208" s="40">
        <f>IFERROR(INDEX(Stage_Prob,MATCH(H208,Stage_Names,0)),"")</f>
        <v/>
      </c>
      <c r="K208" s="41">
        <f>IF(OR(H208="",I208=""),"",I208*J208)</f>
        <v/>
      </c>
      <c r="L208" s="46" t="n"/>
      <c r="M208" s="46" t="n"/>
      <c r="N208" s="36">
        <f>IFERROR(INDEX(Stage_Type,MATCH(H208,Stage_Names,0)),"")</f>
        <v/>
      </c>
      <c r="O208" s="36">
        <f>IF(OR(H208="",L208=""),"",IF(N208="مفتوح",TODAY()-L208,M208-L208))</f>
        <v/>
      </c>
      <c r="P208" s="36">
        <f>IF(L208="","",TEXT(L208,"YYYY-MM"))</f>
        <v/>
      </c>
      <c r="Q208" s="45" t="n"/>
    </row>
    <row r="209">
      <c r="A209" s="29">
        <f>IF(B209="","",ROW()-2)</f>
        <v/>
      </c>
      <c r="B209" s="43" t="n"/>
      <c r="C209" s="43" t="n"/>
      <c r="D209" s="43" t="n"/>
      <c r="E209" s="43" t="n"/>
      <c r="F209" s="44" t="n"/>
      <c r="G209" s="44" t="n"/>
      <c r="H209" s="44" t="n"/>
      <c r="I209" s="44" t="n"/>
      <c r="J209" s="33">
        <f>IFERROR(INDEX(Stage_Prob,MATCH(H209,Stage_Names,0)),"")</f>
        <v/>
      </c>
      <c r="K209" s="34">
        <f>IF(OR(H209="",I209=""),"",I209*J209)</f>
        <v/>
      </c>
      <c r="L209" s="44" t="n"/>
      <c r="M209" s="44" t="n"/>
      <c r="N209" s="29">
        <f>IFERROR(INDEX(Stage_Type,MATCH(H209,Stage_Names,0)),"")</f>
        <v/>
      </c>
      <c r="O209" s="29">
        <f>IF(OR(H209="",L209=""),"",IF(N209="مفتوح",TODAY()-L209,M209-L209))</f>
        <v/>
      </c>
      <c r="P209" s="29">
        <f>IF(L209="","",TEXT(L209,"YYYY-MM"))</f>
        <v/>
      </c>
      <c r="Q209" s="43" t="n"/>
    </row>
    <row r="210">
      <c r="A210" s="36">
        <f>IF(B210="","",ROW()-2)</f>
        <v/>
      </c>
      <c r="B210" s="45" t="n"/>
      <c r="C210" s="45" t="n"/>
      <c r="D210" s="45" t="n"/>
      <c r="E210" s="45" t="n"/>
      <c r="F210" s="46" t="n"/>
      <c r="G210" s="46" t="n"/>
      <c r="H210" s="46" t="n"/>
      <c r="I210" s="46" t="n"/>
      <c r="J210" s="40">
        <f>IFERROR(INDEX(Stage_Prob,MATCH(H210,Stage_Names,0)),"")</f>
        <v/>
      </c>
      <c r="K210" s="41">
        <f>IF(OR(H210="",I210=""),"",I210*J210)</f>
        <v/>
      </c>
      <c r="L210" s="46" t="n"/>
      <c r="M210" s="46" t="n"/>
      <c r="N210" s="36">
        <f>IFERROR(INDEX(Stage_Type,MATCH(H210,Stage_Names,0)),"")</f>
        <v/>
      </c>
      <c r="O210" s="36">
        <f>IF(OR(H210="",L210=""),"",IF(N210="مفتوح",TODAY()-L210,M210-L210))</f>
        <v/>
      </c>
      <c r="P210" s="36">
        <f>IF(L210="","",TEXT(L210,"YYYY-MM"))</f>
        <v/>
      </c>
      <c r="Q210" s="45" t="n"/>
    </row>
    <row r="211">
      <c r="A211" s="29">
        <f>IF(B211="","",ROW()-2)</f>
        <v/>
      </c>
      <c r="B211" s="43" t="n"/>
      <c r="C211" s="43" t="n"/>
      <c r="D211" s="43" t="n"/>
      <c r="E211" s="43" t="n"/>
      <c r="F211" s="44" t="n"/>
      <c r="G211" s="44" t="n"/>
      <c r="H211" s="44" t="n"/>
      <c r="I211" s="44" t="n"/>
      <c r="J211" s="33">
        <f>IFERROR(INDEX(Stage_Prob,MATCH(H211,Stage_Names,0)),"")</f>
        <v/>
      </c>
      <c r="K211" s="34">
        <f>IF(OR(H211="",I211=""),"",I211*J211)</f>
        <v/>
      </c>
      <c r="L211" s="44" t="n"/>
      <c r="M211" s="44" t="n"/>
      <c r="N211" s="29">
        <f>IFERROR(INDEX(Stage_Type,MATCH(H211,Stage_Names,0)),"")</f>
        <v/>
      </c>
      <c r="O211" s="29">
        <f>IF(OR(H211="",L211=""),"",IF(N211="مفتوح",TODAY()-L211,M211-L211))</f>
        <v/>
      </c>
      <c r="P211" s="29">
        <f>IF(L211="","",TEXT(L211,"YYYY-MM"))</f>
        <v/>
      </c>
      <c r="Q211" s="43" t="n"/>
    </row>
    <row r="212">
      <c r="A212" s="36">
        <f>IF(B212="","",ROW()-2)</f>
        <v/>
      </c>
      <c r="B212" s="45" t="n"/>
      <c r="C212" s="45" t="n"/>
      <c r="D212" s="45" t="n"/>
      <c r="E212" s="45" t="n"/>
      <c r="F212" s="46" t="n"/>
      <c r="G212" s="46" t="n"/>
      <c r="H212" s="46" t="n"/>
      <c r="I212" s="46" t="n"/>
      <c r="J212" s="40">
        <f>IFERROR(INDEX(Stage_Prob,MATCH(H212,Stage_Names,0)),"")</f>
        <v/>
      </c>
      <c r="K212" s="41">
        <f>IF(OR(H212="",I212=""),"",I212*J212)</f>
        <v/>
      </c>
      <c r="L212" s="46" t="n"/>
      <c r="M212" s="46" t="n"/>
      <c r="N212" s="36">
        <f>IFERROR(INDEX(Stage_Type,MATCH(H212,Stage_Names,0)),"")</f>
        <v/>
      </c>
      <c r="O212" s="36">
        <f>IF(OR(H212="",L212=""),"",IF(N212="مفتوح",TODAY()-L212,M212-L212))</f>
        <v/>
      </c>
      <c r="P212" s="36">
        <f>IF(L212="","",TEXT(L212,"YYYY-MM"))</f>
        <v/>
      </c>
      <c r="Q212" s="45" t="n"/>
    </row>
    <row r="213">
      <c r="A213" s="29">
        <f>IF(B213="","",ROW()-2)</f>
        <v/>
      </c>
      <c r="B213" s="43" t="n"/>
      <c r="C213" s="43" t="n"/>
      <c r="D213" s="43" t="n"/>
      <c r="E213" s="43" t="n"/>
      <c r="F213" s="44" t="n"/>
      <c r="G213" s="44" t="n"/>
      <c r="H213" s="44" t="n"/>
      <c r="I213" s="44" t="n"/>
      <c r="J213" s="33">
        <f>IFERROR(INDEX(Stage_Prob,MATCH(H213,Stage_Names,0)),"")</f>
        <v/>
      </c>
      <c r="K213" s="34">
        <f>IF(OR(H213="",I213=""),"",I213*J213)</f>
        <v/>
      </c>
      <c r="L213" s="44" t="n"/>
      <c r="M213" s="44" t="n"/>
      <c r="N213" s="29">
        <f>IFERROR(INDEX(Stage_Type,MATCH(H213,Stage_Names,0)),"")</f>
        <v/>
      </c>
      <c r="O213" s="29">
        <f>IF(OR(H213="",L213=""),"",IF(N213="مفتوح",TODAY()-L213,M213-L213))</f>
        <v/>
      </c>
      <c r="P213" s="29">
        <f>IF(L213="","",TEXT(L213,"YYYY-MM"))</f>
        <v/>
      </c>
      <c r="Q213" s="43" t="n"/>
    </row>
    <row r="214">
      <c r="A214" s="36">
        <f>IF(B214="","",ROW()-2)</f>
        <v/>
      </c>
      <c r="B214" s="45" t="n"/>
      <c r="C214" s="45" t="n"/>
      <c r="D214" s="45" t="n"/>
      <c r="E214" s="45" t="n"/>
      <c r="F214" s="46" t="n"/>
      <c r="G214" s="46" t="n"/>
      <c r="H214" s="46" t="n"/>
      <c r="I214" s="46" t="n"/>
      <c r="J214" s="40">
        <f>IFERROR(INDEX(Stage_Prob,MATCH(H214,Stage_Names,0)),"")</f>
        <v/>
      </c>
      <c r="K214" s="41">
        <f>IF(OR(H214="",I214=""),"",I214*J214)</f>
        <v/>
      </c>
      <c r="L214" s="46" t="n"/>
      <c r="M214" s="46" t="n"/>
      <c r="N214" s="36">
        <f>IFERROR(INDEX(Stage_Type,MATCH(H214,Stage_Names,0)),"")</f>
        <v/>
      </c>
      <c r="O214" s="36">
        <f>IF(OR(H214="",L214=""),"",IF(N214="مفتوح",TODAY()-L214,M214-L214))</f>
        <v/>
      </c>
      <c r="P214" s="36">
        <f>IF(L214="","",TEXT(L214,"YYYY-MM"))</f>
        <v/>
      </c>
      <c r="Q214" s="45" t="n"/>
    </row>
    <row r="215">
      <c r="A215" s="29">
        <f>IF(B215="","",ROW()-2)</f>
        <v/>
      </c>
      <c r="B215" s="43" t="n"/>
      <c r="C215" s="43" t="n"/>
      <c r="D215" s="43" t="n"/>
      <c r="E215" s="43" t="n"/>
      <c r="F215" s="44" t="n"/>
      <c r="G215" s="44" t="n"/>
      <c r="H215" s="44" t="n"/>
      <c r="I215" s="44" t="n"/>
      <c r="J215" s="33">
        <f>IFERROR(INDEX(Stage_Prob,MATCH(H215,Stage_Names,0)),"")</f>
        <v/>
      </c>
      <c r="K215" s="34">
        <f>IF(OR(H215="",I215=""),"",I215*J215)</f>
        <v/>
      </c>
      <c r="L215" s="44" t="n"/>
      <c r="M215" s="44" t="n"/>
      <c r="N215" s="29">
        <f>IFERROR(INDEX(Stage_Type,MATCH(H215,Stage_Names,0)),"")</f>
        <v/>
      </c>
      <c r="O215" s="29">
        <f>IF(OR(H215="",L215=""),"",IF(N215="مفتوح",TODAY()-L215,M215-L215))</f>
        <v/>
      </c>
      <c r="P215" s="29">
        <f>IF(L215="","",TEXT(L215,"YYYY-MM"))</f>
        <v/>
      </c>
      <c r="Q215" s="43" t="n"/>
    </row>
    <row r="216">
      <c r="A216" s="36">
        <f>IF(B216="","",ROW()-2)</f>
        <v/>
      </c>
      <c r="B216" s="45" t="n"/>
      <c r="C216" s="45" t="n"/>
      <c r="D216" s="45" t="n"/>
      <c r="E216" s="45" t="n"/>
      <c r="F216" s="46" t="n"/>
      <c r="G216" s="46" t="n"/>
      <c r="H216" s="46" t="n"/>
      <c r="I216" s="46" t="n"/>
      <c r="J216" s="40">
        <f>IFERROR(INDEX(Stage_Prob,MATCH(H216,Stage_Names,0)),"")</f>
        <v/>
      </c>
      <c r="K216" s="41">
        <f>IF(OR(H216="",I216=""),"",I216*J216)</f>
        <v/>
      </c>
      <c r="L216" s="46" t="n"/>
      <c r="M216" s="46" t="n"/>
      <c r="N216" s="36">
        <f>IFERROR(INDEX(Stage_Type,MATCH(H216,Stage_Names,0)),"")</f>
        <v/>
      </c>
      <c r="O216" s="36">
        <f>IF(OR(H216="",L216=""),"",IF(N216="مفتوح",TODAY()-L216,M216-L216))</f>
        <v/>
      </c>
      <c r="P216" s="36">
        <f>IF(L216="","",TEXT(L216,"YYYY-MM"))</f>
        <v/>
      </c>
      <c r="Q216" s="45" t="n"/>
    </row>
    <row r="217">
      <c r="A217" s="29">
        <f>IF(B217="","",ROW()-2)</f>
        <v/>
      </c>
      <c r="B217" s="43" t="n"/>
      <c r="C217" s="43" t="n"/>
      <c r="D217" s="43" t="n"/>
      <c r="E217" s="43" t="n"/>
      <c r="F217" s="44" t="n"/>
      <c r="G217" s="44" t="n"/>
      <c r="H217" s="44" t="n"/>
      <c r="I217" s="44" t="n"/>
      <c r="J217" s="33">
        <f>IFERROR(INDEX(Stage_Prob,MATCH(H217,Stage_Names,0)),"")</f>
        <v/>
      </c>
      <c r="K217" s="34">
        <f>IF(OR(H217="",I217=""),"",I217*J217)</f>
        <v/>
      </c>
      <c r="L217" s="44" t="n"/>
      <c r="M217" s="44" t="n"/>
      <c r="N217" s="29">
        <f>IFERROR(INDEX(Stage_Type,MATCH(H217,Stage_Names,0)),"")</f>
        <v/>
      </c>
      <c r="O217" s="29">
        <f>IF(OR(H217="",L217=""),"",IF(N217="مفتوح",TODAY()-L217,M217-L217))</f>
        <v/>
      </c>
      <c r="P217" s="29">
        <f>IF(L217="","",TEXT(L217,"YYYY-MM"))</f>
        <v/>
      </c>
      <c r="Q217" s="43" t="n"/>
    </row>
    <row r="218">
      <c r="A218" s="36">
        <f>IF(B218="","",ROW()-2)</f>
        <v/>
      </c>
      <c r="B218" s="45" t="n"/>
      <c r="C218" s="45" t="n"/>
      <c r="D218" s="45" t="n"/>
      <c r="E218" s="45" t="n"/>
      <c r="F218" s="46" t="n"/>
      <c r="G218" s="46" t="n"/>
      <c r="H218" s="46" t="n"/>
      <c r="I218" s="46" t="n"/>
      <c r="J218" s="40">
        <f>IFERROR(INDEX(Stage_Prob,MATCH(H218,Stage_Names,0)),"")</f>
        <v/>
      </c>
      <c r="K218" s="41">
        <f>IF(OR(H218="",I218=""),"",I218*J218)</f>
        <v/>
      </c>
      <c r="L218" s="46" t="n"/>
      <c r="M218" s="46" t="n"/>
      <c r="N218" s="36">
        <f>IFERROR(INDEX(Stage_Type,MATCH(H218,Stage_Names,0)),"")</f>
        <v/>
      </c>
      <c r="O218" s="36">
        <f>IF(OR(H218="",L218=""),"",IF(N218="مفتوح",TODAY()-L218,M218-L218))</f>
        <v/>
      </c>
      <c r="P218" s="36">
        <f>IF(L218="","",TEXT(L218,"YYYY-MM"))</f>
        <v/>
      </c>
      <c r="Q218" s="45" t="n"/>
    </row>
    <row r="219">
      <c r="A219" s="29">
        <f>IF(B219="","",ROW()-2)</f>
        <v/>
      </c>
      <c r="B219" s="43" t="n"/>
      <c r="C219" s="43" t="n"/>
      <c r="D219" s="43" t="n"/>
      <c r="E219" s="43" t="n"/>
      <c r="F219" s="44" t="n"/>
      <c r="G219" s="44" t="n"/>
      <c r="H219" s="44" t="n"/>
      <c r="I219" s="44" t="n"/>
      <c r="J219" s="33">
        <f>IFERROR(INDEX(Stage_Prob,MATCH(H219,Stage_Names,0)),"")</f>
        <v/>
      </c>
      <c r="K219" s="34">
        <f>IF(OR(H219="",I219=""),"",I219*J219)</f>
        <v/>
      </c>
      <c r="L219" s="44" t="n"/>
      <c r="M219" s="44" t="n"/>
      <c r="N219" s="29">
        <f>IFERROR(INDEX(Stage_Type,MATCH(H219,Stage_Names,0)),"")</f>
        <v/>
      </c>
      <c r="O219" s="29">
        <f>IF(OR(H219="",L219=""),"",IF(N219="مفتوح",TODAY()-L219,M219-L219))</f>
        <v/>
      </c>
      <c r="P219" s="29">
        <f>IF(L219="","",TEXT(L219,"YYYY-MM"))</f>
        <v/>
      </c>
      <c r="Q219" s="43" t="n"/>
    </row>
    <row r="220">
      <c r="A220" s="36">
        <f>IF(B220="","",ROW()-2)</f>
        <v/>
      </c>
      <c r="B220" s="45" t="n"/>
      <c r="C220" s="45" t="n"/>
      <c r="D220" s="45" t="n"/>
      <c r="E220" s="45" t="n"/>
      <c r="F220" s="46" t="n"/>
      <c r="G220" s="46" t="n"/>
      <c r="H220" s="46" t="n"/>
      <c r="I220" s="46" t="n"/>
      <c r="J220" s="40">
        <f>IFERROR(INDEX(Stage_Prob,MATCH(H220,Stage_Names,0)),"")</f>
        <v/>
      </c>
      <c r="K220" s="41">
        <f>IF(OR(H220="",I220=""),"",I220*J220)</f>
        <v/>
      </c>
      <c r="L220" s="46" t="n"/>
      <c r="M220" s="46" t="n"/>
      <c r="N220" s="36">
        <f>IFERROR(INDEX(Stage_Type,MATCH(H220,Stage_Names,0)),"")</f>
        <v/>
      </c>
      <c r="O220" s="36">
        <f>IF(OR(H220="",L220=""),"",IF(N220="مفتوح",TODAY()-L220,M220-L220))</f>
        <v/>
      </c>
      <c r="P220" s="36">
        <f>IF(L220="","",TEXT(L220,"YYYY-MM"))</f>
        <v/>
      </c>
      <c r="Q220" s="45" t="n"/>
    </row>
    <row r="221">
      <c r="A221" s="29">
        <f>IF(B221="","",ROW()-2)</f>
        <v/>
      </c>
      <c r="B221" s="43" t="n"/>
      <c r="C221" s="43" t="n"/>
      <c r="D221" s="43" t="n"/>
      <c r="E221" s="43" t="n"/>
      <c r="F221" s="44" t="n"/>
      <c r="G221" s="44" t="n"/>
      <c r="H221" s="44" t="n"/>
      <c r="I221" s="44" t="n"/>
      <c r="J221" s="33">
        <f>IFERROR(INDEX(Stage_Prob,MATCH(H221,Stage_Names,0)),"")</f>
        <v/>
      </c>
      <c r="K221" s="34">
        <f>IF(OR(H221="",I221=""),"",I221*J221)</f>
        <v/>
      </c>
      <c r="L221" s="44" t="n"/>
      <c r="M221" s="44" t="n"/>
      <c r="N221" s="29">
        <f>IFERROR(INDEX(Stage_Type,MATCH(H221,Stage_Names,0)),"")</f>
        <v/>
      </c>
      <c r="O221" s="29">
        <f>IF(OR(H221="",L221=""),"",IF(N221="مفتوح",TODAY()-L221,M221-L221))</f>
        <v/>
      </c>
      <c r="P221" s="29">
        <f>IF(L221="","",TEXT(L221,"YYYY-MM"))</f>
        <v/>
      </c>
      <c r="Q221" s="43" t="n"/>
    </row>
    <row r="222">
      <c r="A222" s="36">
        <f>IF(B222="","",ROW()-2)</f>
        <v/>
      </c>
      <c r="B222" s="45" t="n"/>
      <c r="C222" s="45" t="n"/>
      <c r="D222" s="45" t="n"/>
      <c r="E222" s="45" t="n"/>
      <c r="F222" s="46" t="n"/>
      <c r="G222" s="46" t="n"/>
      <c r="H222" s="46" t="n"/>
      <c r="I222" s="46" t="n"/>
      <c r="J222" s="40">
        <f>IFERROR(INDEX(Stage_Prob,MATCH(H222,Stage_Names,0)),"")</f>
        <v/>
      </c>
      <c r="K222" s="41">
        <f>IF(OR(H222="",I222=""),"",I222*J222)</f>
        <v/>
      </c>
      <c r="L222" s="46" t="n"/>
      <c r="M222" s="46" t="n"/>
      <c r="N222" s="36">
        <f>IFERROR(INDEX(Stage_Type,MATCH(H222,Stage_Names,0)),"")</f>
        <v/>
      </c>
      <c r="O222" s="36">
        <f>IF(OR(H222="",L222=""),"",IF(N222="مفتوح",TODAY()-L222,M222-L222))</f>
        <v/>
      </c>
      <c r="P222" s="36">
        <f>IF(L222="","",TEXT(L222,"YYYY-MM"))</f>
        <v/>
      </c>
      <c r="Q222" s="45" t="n"/>
    </row>
    <row r="223">
      <c r="A223" s="29">
        <f>IF(B223="","",ROW()-2)</f>
        <v/>
      </c>
      <c r="B223" s="43" t="n"/>
      <c r="C223" s="43" t="n"/>
      <c r="D223" s="43" t="n"/>
      <c r="E223" s="43" t="n"/>
      <c r="F223" s="44" t="n"/>
      <c r="G223" s="44" t="n"/>
      <c r="H223" s="44" t="n"/>
      <c r="I223" s="44" t="n"/>
      <c r="J223" s="33">
        <f>IFERROR(INDEX(Stage_Prob,MATCH(H223,Stage_Names,0)),"")</f>
        <v/>
      </c>
      <c r="K223" s="34">
        <f>IF(OR(H223="",I223=""),"",I223*J223)</f>
        <v/>
      </c>
      <c r="L223" s="44" t="n"/>
      <c r="M223" s="44" t="n"/>
      <c r="N223" s="29">
        <f>IFERROR(INDEX(Stage_Type,MATCH(H223,Stage_Names,0)),"")</f>
        <v/>
      </c>
      <c r="O223" s="29">
        <f>IF(OR(H223="",L223=""),"",IF(N223="مفتوح",TODAY()-L223,M223-L223))</f>
        <v/>
      </c>
      <c r="P223" s="29">
        <f>IF(L223="","",TEXT(L223,"YYYY-MM"))</f>
        <v/>
      </c>
      <c r="Q223" s="43" t="n"/>
    </row>
    <row r="224">
      <c r="A224" s="36">
        <f>IF(B224="","",ROW()-2)</f>
        <v/>
      </c>
      <c r="B224" s="45" t="n"/>
      <c r="C224" s="45" t="n"/>
      <c r="D224" s="45" t="n"/>
      <c r="E224" s="45" t="n"/>
      <c r="F224" s="46" t="n"/>
      <c r="G224" s="46" t="n"/>
      <c r="H224" s="46" t="n"/>
      <c r="I224" s="46" t="n"/>
      <c r="J224" s="40">
        <f>IFERROR(INDEX(Stage_Prob,MATCH(H224,Stage_Names,0)),"")</f>
        <v/>
      </c>
      <c r="K224" s="41">
        <f>IF(OR(H224="",I224=""),"",I224*J224)</f>
        <v/>
      </c>
      <c r="L224" s="46" t="n"/>
      <c r="M224" s="46" t="n"/>
      <c r="N224" s="36">
        <f>IFERROR(INDEX(Stage_Type,MATCH(H224,Stage_Names,0)),"")</f>
        <v/>
      </c>
      <c r="O224" s="36">
        <f>IF(OR(H224="",L224=""),"",IF(N224="مفتوح",TODAY()-L224,M224-L224))</f>
        <v/>
      </c>
      <c r="P224" s="36">
        <f>IF(L224="","",TEXT(L224,"YYYY-MM"))</f>
        <v/>
      </c>
      <c r="Q224" s="45" t="n"/>
    </row>
    <row r="225">
      <c r="A225" s="29">
        <f>IF(B225="","",ROW()-2)</f>
        <v/>
      </c>
      <c r="B225" s="43" t="n"/>
      <c r="C225" s="43" t="n"/>
      <c r="D225" s="43" t="n"/>
      <c r="E225" s="43" t="n"/>
      <c r="F225" s="44" t="n"/>
      <c r="G225" s="44" t="n"/>
      <c r="H225" s="44" t="n"/>
      <c r="I225" s="44" t="n"/>
      <c r="J225" s="33">
        <f>IFERROR(INDEX(Stage_Prob,MATCH(H225,Stage_Names,0)),"")</f>
        <v/>
      </c>
      <c r="K225" s="34">
        <f>IF(OR(H225="",I225=""),"",I225*J225)</f>
        <v/>
      </c>
      <c r="L225" s="44" t="n"/>
      <c r="M225" s="44" t="n"/>
      <c r="N225" s="29">
        <f>IFERROR(INDEX(Stage_Type,MATCH(H225,Stage_Names,0)),"")</f>
        <v/>
      </c>
      <c r="O225" s="29">
        <f>IF(OR(H225="",L225=""),"",IF(N225="مفتوح",TODAY()-L225,M225-L225))</f>
        <v/>
      </c>
      <c r="P225" s="29">
        <f>IF(L225="","",TEXT(L225,"YYYY-MM"))</f>
        <v/>
      </c>
      <c r="Q225" s="43" t="n"/>
    </row>
    <row r="226">
      <c r="A226" s="36">
        <f>IF(B226="","",ROW()-2)</f>
        <v/>
      </c>
      <c r="B226" s="45" t="n"/>
      <c r="C226" s="45" t="n"/>
      <c r="D226" s="45" t="n"/>
      <c r="E226" s="45" t="n"/>
      <c r="F226" s="46" t="n"/>
      <c r="G226" s="46" t="n"/>
      <c r="H226" s="46" t="n"/>
      <c r="I226" s="46" t="n"/>
      <c r="J226" s="40">
        <f>IFERROR(INDEX(Stage_Prob,MATCH(H226,Stage_Names,0)),"")</f>
        <v/>
      </c>
      <c r="K226" s="41">
        <f>IF(OR(H226="",I226=""),"",I226*J226)</f>
        <v/>
      </c>
      <c r="L226" s="46" t="n"/>
      <c r="M226" s="46" t="n"/>
      <c r="N226" s="36">
        <f>IFERROR(INDEX(Stage_Type,MATCH(H226,Stage_Names,0)),"")</f>
        <v/>
      </c>
      <c r="O226" s="36">
        <f>IF(OR(H226="",L226=""),"",IF(N226="مفتوح",TODAY()-L226,M226-L226))</f>
        <v/>
      </c>
      <c r="P226" s="36">
        <f>IF(L226="","",TEXT(L226,"YYYY-MM"))</f>
        <v/>
      </c>
      <c r="Q226" s="45" t="n"/>
    </row>
    <row r="227">
      <c r="A227" s="29">
        <f>IF(B227="","",ROW()-2)</f>
        <v/>
      </c>
      <c r="B227" s="43" t="n"/>
      <c r="C227" s="43" t="n"/>
      <c r="D227" s="43" t="n"/>
      <c r="E227" s="43" t="n"/>
      <c r="F227" s="44" t="n"/>
      <c r="G227" s="44" t="n"/>
      <c r="H227" s="44" t="n"/>
      <c r="I227" s="44" t="n"/>
      <c r="J227" s="33">
        <f>IFERROR(INDEX(Stage_Prob,MATCH(H227,Stage_Names,0)),"")</f>
        <v/>
      </c>
      <c r="K227" s="34">
        <f>IF(OR(H227="",I227=""),"",I227*J227)</f>
        <v/>
      </c>
      <c r="L227" s="44" t="n"/>
      <c r="M227" s="44" t="n"/>
      <c r="N227" s="29">
        <f>IFERROR(INDEX(Stage_Type,MATCH(H227,Stage_Names,0)),"")</f>
        <v/>
      </c>
      <c r="O227" s="29">
        <f>IF(OR(H227="",L227=""),"",IF(N227="مفتوح",TODAY()-L227,M227-L227))</f>
        <v/>
      </c>
      <c r="P227" s="29">
        <f>IF(L227="","",TEXT(L227,"YYYY-MM"))</f>
        <v/>
      </c>
      <c r="Q227" s="43" t="n"/>
    </row>
    <row r="228">
      <c r="A228" s="36">
        <f>IF(B228="","",ROW()-2)</f>
        <v/>
      </c>
      <c r="B228" s="45" t="n"/>
      <c r="C228" s="45" t="n"/>
      <c r="D228" s="45" t="n"/>
      <c r="E228" s="45" t="n"/>
      <c r="F228" s="46" t="n"/>
      <c r="G228" s="46" t="n"/>
      <c r="H228" s="46" t="n"/>
      <c r="I228" s="46" t="n"/>
      <c r="J228" s="40">
        <f>IFERROR(INDEX(Stage_Prob,MATCH(H228,Stage_Names,0)),"")</f>
        <v/>
      </c>
      <c r="K228" s="41">
        <f>IF(OR(H228="",I228=""),"",I228*J228)</f>
        <v/>
      </c>
      <c r="L228" s="46" t="n"/>
      <c r="M228" s="46" t="n"/>
      <c r="N228" s="36">
        <f>IFERROR(INDEX(Stage_Type,MATCH(H228,Stage_Names,0)),"")</f>
        <v/>
      </c>
      <c r="O228" s="36">
        <f>IF(OR(H228="",L228=""),"",IF(N228="مفتوح",TODAY()-L228,M228-L228))</f>
        <v/>
      </c>
      <c r="P228" s="36">
        <f>IF(L228="","",TEXT(L228,"YYYY-MM"))</f>
        <v/>
      </c>
      <c r="Q228" s="45" t="n"/>
    </row>
    <row r="229">
      <c r="A229" s="29">
        <f>IF(B229="","",ROW()-2)</f>
        <v/>
      </c>
      <c r="B229" s="43" t="n"/>
      <c r="C229" s="43" t="n"/>
      <c r="D229" s="43" t="n"/>
      <c r="E229" s="43" t="n"/>
      <c r="F229" s="44" t="n"/>
      <c r="G229" s="44" t="n"/>
      <c r="H229" s="44" t="n"/>
      <c r="I229" s="44" t="n"/>
      <c r="J229" s="33">
        <f>IFERROR(INDEX(Stage_Prob,MATCH(H229,Stage_Names,0)),"")</f>
        <v/>
      </c>
      <c r="K229" s="34">
        <f>IF(OR(H229="",I229=""),"",I229*J229)</f>
        <v/>
      </c>
      <c r="L229" s="44" t="n"/>
      <c r="M229" s="44" t="n"/>
      <c r="N229" s="29">
        <f>IFERROR(INDEX(Stage_Type,MATCH(H229,Stage_Names,0)),"")</f>
        <v/>
      </c>
      <c r="O229" s="29">
        <f>IF(OR(H229="",L229=""),"",IF(N229="مفتوح",TODAY()-L229,M229-L229))</f>
        <v/>
      </c>
      <c r="P229" s="29">
        <f>IF(L229="","",TEXT(L229,"YYYY-MM"))</f>
        <v/>
      </c>
      <c r="Q229" s="43" t="n"/>
    </row>
    <row r="230">
      <c r="A230" s="36">
        <f>IF(B230="","",ROW()-2)</f>
        <v/>
      </c>
      <c r="B230" s="45" t="n"/>
      <c r="C230" s="45" t="n"/>
      <c r="D230" s="45" t="n"/>
      <c r="E230" s="45" t="n"/>
      <c r="F230" s="46" t="n"/>
      <c r="G230" s="46" t="n"/>
      <c r="H230" s="46" t="n"/>
      <c r="I230" s="46" t="n"/>
      <c r="J230" s="40">
        <f>IFERROR(INDEX(Stage_Prob,MATCH(H230,Stage_Names,0)),"")</f>
        <v/>
      </c>
      <c r="K230" s="41">
        <f>IF(OR(H230="",I230=""),"",I230*J230)</f>
        <v/>
      </c>
      <c r="L230" s="46" t="n"/>
      <c r="M230" s="46" t="n"/>
      <c r="N230" s="36">
        <f>IFERROR(INDEX(Stage_Type,MATCH(H230,Stage_Names,0)),"")</f>
        <v/>
      </c>
      <c r="O230" s="36">
        <f>IF(OR(H230="",L230=""),"",IF(N230="مفتوح",TODAY()-L230,M230-L230))</f>
        <v/>
      </c>
      <c r="P230" s="36">
        <f>IF(L230="","",TEXT(L230,"YYYY-MM"))</f>
        <v/>
      </c>
      <c r="Q230" s="45" t="n"/>
    </row>
    <row r="231">
      <c r="A231" s="29">
        <f>IF(B231="","",ROW()-2)</f>
        <v/>
      </c>
      <c r="B231" s="43" t="n"/>
      <c r="C231" s="43" t="n"/>
      <c r="D231" s="43" t="n"/>
      <c r="E231" s="43" t="n"/>
      <c r="F231" s="44" t="n"/>
      <c r="G231" s="44" t="n"/>
      <c r="H231" s="44" t="n"/>
      <c r="I231" s="44" t="n"/>
      <c r="J231" s="33">
        <f>IFERROR(INDEX(Stage_Prob,MATCH(H231,Stage_Names,0)),"")</f>
        <v/>
      </c>
      <c r="K231" s="34">
        <f>IF(OR(H231="",I231=""),"",I231*J231)</f>
        <v/>
      </c>
      <c r="L231" s="44" t="n"/>
      <c r="M231" s="44" t="n"/>
      <c r="N231" s="29">
        <f>IFERROR(INDEX(Stage_Type,MATCH(H231,Stage_Names,0)),"")</f>
        <v/>
      </c>
      <c r="O231" s="29">
        <f>IF(OR(H231="",L231=""),"",IF(N231="مفتوح",TODAY()-L231,M231-L231))</f>
        <v/>
      </c>
      <c r="P231" s="29">
        <f>IF(L231="","",TEXT(L231,"YYYY-MM"))</f>
        <v/>
      </c>
      <c r="Q231" s="43" t="n"/>
    </row>
    <row r="232">
      <c r="A232" s="36">
        <f>IF(B232="","",ROW()-2)</f>
        <v/>
      </c>
      <c r="B232" s="45" t="n"/>
      <c r="C232" s="45" t="n"/>
      <c r="D232" s="45" t="n"/>
      <c r="E232" s="45" t="n"/>
      <c r="F232" s="46" t="n"/>
      <c r="G232" s="46" t="n"/>
      <c r="H232" s="46" t="n"/>
      <c r="I232" s="46" t="n"/>
      <c r="J232" s="40">
        <f>IFERROR(INDEX(Stage_Prob,MATCH(H232,Stage_Names,0)),"")</f>
        <v/>
      </c>
      <c r="K232" s="41">
        <f>IF(OR(H232="",I232=""),"",I232*J232)</f>
        <v/>
      </c>
      <c r="L232" s="46" t="n"/>
      <c r="M232" s="46" t="n"/>
      <c r="N232" s="36">
        <f>IFERROR(INDEX(Stage_Type,MATCH(H232,Stage_Names,0)),"")</f>
        <v/>
      </c>
      <c r="O232" s="36">
        <f>IF(OR(H232="",L232=""),"",IF(N232="مفتوح",TODAY()-L232,M232-L232))</f>
        <v/>
      </c>
      <c r="P232" s="36">
        <f>IF(L232="","",TEXT(L232,"YYYY-MM"))</f>
        <v/>
      </c>
      <c r="Q232" s="45" t="n"/>
    </row>
    <row r="233">
      <c r="A233" s="29">
        <f>IF(B233="","",ROW()-2)</f>
        <v/>
      </c>
      <c r="B233" s="43" t="n"/>
      <c r="C233" s="43" t="n"/>
      <c r="D233" s="43" t="n"/>
      <c r="E233" s="43" t="n"/>
      <c r="F233" s="44" t="n"/>
      <c r="G233" s="44" t="n"/>
      <c r="H233" s="44" t="n"/>
      <c r="I233" s="44" t="n"/>
      <c r="J233" s="33">
        <f>IFERROR(INDEX(Stage_Prob,MATCH(H233,Stage_Names,0)),"")</f>
        <v/>
      </c>
      <c r="K233" s="34">
        <f>IF(OR(H233="",I233=""),"",I233*J233)</f>
        <v/>
      </c>
      <c r="L233" s="44" t="n"/>
      <c r="M233" s="44" t="n"/>
      <c r="N233" s="29">
        <f>IFERROR(INDEX(Stage_Type,MATCH(H233,Stage_Names,0)),"")</f>
        <v/>
      </c>
      <c r="O233" s="29">
        <f>IF(OR(H233="",L233=""),"",IF(N233="مفتوح",TODAY()-L233,M233-L233))</f>
        <v/>
      </c>
      <c r="P233" s="29">
        <f>IF(L233="","",TEXT(L233,"YYYY-MM"))</f>
        <v/>
      </c>
      <c r="Q233" s="43" t="n"/>
    </row>
    <row r="234">
      <c r="A234" s="36">
        <f>IF(B234="","",ROW()-2)</f>
        <v/>
      </c>
      <c r="B234" s="45" t="n"/>
      <c r="C234" s="45" t="n"/>
      <c r="D234" s="45" t="n"/>
      <c r="E234" s="45" t="n"/>
      <c r="F234" s="46" t="n"/>
      <c r="G234" s="46" t="n"/>
      <c r="H234" s="46" t="n"/>
      <c r="I234" s="46" t="n"/>
      <c r="J234" s="40">
        <f>IFERROR(INDEX(Stage_Prob,MATCH(H234,Stage_Names,0)),"")</f>
        <v/>
      </c>
      <c r="K234" s="41">
        <f>IF(OR(H234="",I234=""),"",I234*J234)</f>
        <v/>
      </c>
      <c r="L234" s="46" t="n"/>
      <c r="M234" s="46" t="n"/>
      <c r="N234" s="36">
        <f>IFERROR(INDEX(Stage_Type,MATCH(H234,Stage_Names,0)),"")</f>
        <v/>
      </c>
      <c r="O234" s="36">
        <f>IF(OR(H234="",L234=""),"",IF(N234="مفتوح",TODAY()-L234,M234-L234))</f>
        <v/>
      </c>
      <c r="P234" s="36">
        <f>IF(L234="","",TEXT(L234,"YYYY-MM"))</f>
        <v/>
      </c>
      <c r="Q234" s="45" t="n"/>
    </row>
    <row r="235">
      <c r="A235" s="29">
        <f>IF(B235="","",ROW()-2)</f>
        <v/>
      </c>
      <c r="B235" s="43" t="n"/>
      <c r="C235" s="43" t="n"/>
      <c r="D235" s="43" t="n"/>
      <c r="E235" s="43" t="n"/>
      <c r="F235" s="44" t="n"/>
      <c r="G235" s="44" t="n"/>
      <c r="H235" s="44" t="n"/>
      <c r="I235" s="44" t="n"/>
      <c r="J235" s="33">
        <f>IFERROR(INDEX(Stage_Prob,MATCH(H235,Stage_Names,0)),"")</f>
        <v/>
      </c>
      <c r="K235" s="34">
        <f>IF(OR(H235="",I235=""),"",I235*J235)</f>
        <v/>
      </c>
      <c r="L235" s="44" t="n"/>
      <c r="M235" s="44" t="n"/>
      <c r="N235" s="29">
        <f>IFERROR(INDEX(Stage_Type,MATCH(H235,Stage_Names,0)),"")</f>
        <v/>
      </c>
      <c r="O235" s="29">
        <f>IF(OR(H235="",L235=""),"",IF(N235="مفتوح",TODAY()-L235,M235-L235))</f>
        <v/>
      </c>
      <c r="P235" s="29">
        <f>IF(L235="","",TEXT(L235,"YYYY-MM"))</f>
        <v/>
      </c>
      <c r="Q235" s="43" t="n"/>
    </row>
    <row r="236">
      <c r="A236" s="36">
        <f>IF(B236="","",ROW()-2)</f>
        <v/>
      </c>
      <c r="B236" s="45" t="n"/>
      <c r="C236" s="45" t="n"/>
      <c r="D236" s="45" t="n"/>
      <c r="E236" s="45" t="n"/>
      <c r="F236" s="46" t="n"/>
      <c r="G236" s="46" t="n"/>
      <c r="H236" s="46" t="n"/>
      <c r="I236" s="46" t="n"/>
      <c r="J236" s="40">
        <f>IFERROR(INDEX(Stage_Prob,MATCH(H236,Stage_Names,0)),"")</f>
        <v/>
      </c>
      <c r="K236" s="41">
        <f>IF(OR(H236="",I236=""),"",I236*J236)</f>
        <v/>
      </c>
      <c r="L236" s="46" t="n"/>
      <c r="M236" s="46" t="n"/>
      <c r="N236" s="36">
        <f>IFERROR(INDEX(Stage_Type,MATCH(H236,Stage_Names,0)),"")</f>
        <v/>
      </c>
      <c r="O236" s="36">
        <f>IF(OR(H236="",L236=""),"",IF(N236="مفتوح",TODAY()-L236,M236-L236))</f>
        <v/>
      </c>
      <c r="P236" s="36">
        <f>IF(L236="","",TEXT(L236,"YYYY-MM"))</f>
        <v/>
      </c>
      <c r="Q236" s="45" t="n"/>
    </row>
    <row r="237">
      <c r="A237" s="29">
        <f>IF(B237="","",ROW()-2)</f>
        <v/>
      </c>
      <c r="B237" s="43" t="n"/>
      <c r="C237" s="43" t="n"/>
      <c r="D237" s="43" t="n"/>
      <c r="E237" s="43" t="n"/>
      <c r="F237" s="44" t="n"/>
      <c r="G237" s="44" t="n"/>
      <c r="H237" s="44" t="n"/>
      <c r="I237" s="44" t="n"/>
      <c r="J237" s="33">
        <f>IFERROR(INDEX(Stage_Prob,MATCH(H237,Stage_Names,0)),"")</f>
        <v/>
      </c>
      <c r="K237" s="34">
        <f>IF(OR(H237="",I237=""),"",I237*J237)</f>
        <v/>
      </c>
      <c r="L237" s="44" t="n"/>
      <c r="M237" s="44" t="n"/>
      <c r="N237" s="29">
        <f>IFERROR(INDEX(Stage_Type,MATCH(H237,Stage_Names,0)),"")</f>
        <v/>
      </c>
      <c r="O237" s="29">
        <f>IF(OR(H237="",L237=""),"",IF(N237="مفتوح",TODAY()-L237,M237-L237))</f>
        <v/>
      </c>
      <c r="P237" s="29">
        <f>IF(L237="","",TEXT(L237,"YYYY-MM"))</f>
        <v/>
      </c>
      <c r="Q237" s="43" t="n"/>
    </row>
    <row r="238">
      <c r="A238" s="36">
        <f>IF(B238="","",ROW()-2)</f>
        <v/>
      </c>
      <c r="B238" s="45" t="n"/>
      <c r="C238" s="45" t="n"/>
      <c r="D238" s="45" t="n"/>
      <c r="E238" s="45" t="n"/>
      <c r="F238" s="46" t="n"/>
      <c r="G238" s="46" t="n"/>
      <c r="H238" s="46" t="n"/>
      <c r="I238" s="46" t="n"/>
      <c r="J238" s="40">
        <f>IFERROR(INDEX(Stage_Prob,MATCH(H238,Stage_Names,0)),"")</f>
        <v/>
      </c>
      <c r="K238" s="41">
        <f>IF(OR(H238="",I238=""),"",I238*J238)</f>
        <v/>
      </c>
      <c r="L238" s="46" t="n"/>
      <c r="M238" s="46" t="n"/>
      <c r="N238" s="36">
        <f>IFERROR(INDEX(Stage_Type,MATCH(H238,Stage_Names,0)),"")</f>
        <v/>
      </c>
      <c r="O238" s="36">
        <f>IF(OR(H238="",L238=""),"",IF(N238="مفتوح",TODAY()-L238,M238-L238))</f>
        <v/>
      </c>
      <c r="P238" s="36">
        <f>IF(L238="","",TEXT(L238,"YYYY-MM"))</f>
        <v/>
      </c>
      <c r="Q238" s="45" t="n"/>
    </row>
    <row r="239">
      <c r="A239" s="29">
        <f>IF(B239="","",ROW()-2)</f>
        <v/>
      </c>
      <c r="B239" s="43" t="n"/>
      <c r="C239" s="43" t="n"/>
      <c r="D239" s="43" t="n"/>
      <c r="E239" s="43" t="n"/>
      <c r="F239" s="44" t="n"/>
      <c r="G239" s="44" t="n"/>
      <c r="H239" s="44" t="n"/>
      <c r="I239" s="44" t="n"/>
      <c r="J239" s="33">
        <f>IFERROR(INDEX(Stage_Prob,MATCH(H239,Stage_Names,0)),"")</f>
        <v/>
      </c>
      <c r="K239" s="34">
        <f>IF(OR(H239="",I239=""),"",I239*J239)</f>
        <v/>
      </c>
      <c r="L239" s="44" t="n"/>
      <c r="M239" s="44" t="n"/>
      <c r="N239" s="29">
        <f>IFERROR(INDEX(Stage_Type,MATCH(H239,Stage_Names,0)),"")</f>
        <v/>
      </c>
      <c r="O239" s="29">
        <f>IF(OR(H239="",L239=""),"",IF(N239="مفتوح",TODAY()-L239,M239-L239))</f>
        <v/>
      </c>
      <c r="P239" s="29">
        <f>IF(L239="","",TEXT(L239,"YYYY-MM"))</f>
        <v/>
      </c>
      <c r="Q239" s="43" t="n"/>
    </row>
    <row r="240">
      <c r="A240" s="36">
        <f>IF(B240="","",ROW()-2)</f>
        <v/>
      </c>
      <c r="B240" s="45" t="n"/>
      <c r="C240" s="45" t="n"/>
      <c r="D240" s="45" t="n"/>
      <c r="E240" s="45" t="n"/>
      <c r="F240" s="46" t="n"/>
      <c r="G240" s="46" t="n"/>
      <c r="H240" s="46" t="n"/>
      <c r="I240" s="46" t="n"/>
      <c r="J240" s="40">
        <f>IFERROR(INDEX(Stage_Prob,MATCH(H240,Stage_Names,0)),"")</f>
        <v/>
      </c>
      <c r="K240" s="41">
        <f>IF(OR(H240="",I240=""),"",I240*J240)</f>
        <v/>
      </c>
      <c r="L240" s="46" t="n"/>
      <c r="M240" s="46" t="n"/>
      <c r="N240" s="36">
        <f>IFERROR(INDEX(Stage_Type,MATCH(H240,Stage_Names,0)),"")</f>
        <v/>
      </c>
      <c r="O240" s="36">
        <f>IF(OR(H240="",L240=""),"",IF(N240="مفتوح",TODAY()-L240,M240-L240))</f>
        <v/>
      </c>
      <c r="P240" s="36">
        <f>IF(L240="","",TEXT(L240,"YYYY-MM"))</f>
        <v/>
      </c>
      <c r="Q240" s="45" t="n"/>
    </row>
    <row r="241">
      <c r="A241" s="29">
        <f>IF(B241="","",ROW()-2)</f>
        <v/>
      </c>
      <c r="B241" s="43" t="n"/>
      <c r="C241" s="43" t="n"/>
      <c r="D241" s="43" t="n"/>
      <c r="E241" s="43" t="n"/>
      <c r="F241" s="44" t="n"/>
      <c r="G241" s="44" t="n"/>
      <c r="H241" s="44" t="n"/>
      <c r="I241" s="44" t="n"/>
      <c r="J241" s="33">
        <f>IFERROR(INDEX(Stage_Prob,MATCH(H241,Stage_Names,0)),"")</f>
        <v/>
      </c>
      <c r="K241" s="34">
        <f>IF(OR(H241="",I241=""),"",I241*J241)</f>
        <v/>
      </c>
      <c r="L241" s="44" t="n"/>
      <c r="M241" s="44" t="n"/>
      <c r="N241" s="29">
        <f>IFERROR(INDEX(Stage_Type,MATCH(H241,Stage_Names,0)),"")</f>
        <v/>
      </c>
      <c r="O241" s="29">
        <f>IF(OR(H241="",L241=""),"",IF(N241="مفتوح",TODAY()-L241,M241-L241))</f>
        <v/>
      </c>
      <c r="P241" s="29">
        <f>IF(L241="","",TEXT(L241,"YYYY-MM"))</f>
        <v/>
      </c>
      <c r="Q241" s="43" t="n"/>
    </row>
    <row r="242">
      <c r="A242" s="36">
        <f>IF(B242="","",ROW()-2)</f>
        <v/>
      </c>
      <c r="B242" s="45" t="n"/>
      <c r="C242" s="45" t="n"/>
      <c r="D242" s="45" t="n"/>
      <c r="E242" s="45" t="n"/>
      <c r="F242" s="46" t="n"/>
      <c r="G242" s="46" t="n"/>
      <c r="H242" s="46" t="n"/>
      <c r="I242" s="46" t="n"/>
      <c r="J242" s="40">
        <f>IFERROR(INDEX(Stage_Prob,MATCH(H242,Stage_Names,0)),"")</f>
        <v/>
      </c>
      <c r="K242" s="41">
        <f>IF(OR(H242="",I242=""),"",I242*J242)</f>
        <v/>
      </c>
      <c r="L242" s="46" t="n"/>
      <c r="M242" s="46" t="n"/>
      <c r="N242" s="36">
        <f>IFERROR(INDEX(Stage_Type,MATCH(H242,Stage_Names,0)),"")</f>
        <v/>
      </c>
      <c r="O242" s="36">
        <f>IF(OR(H242="",L242=""),"",IF(N242="مفتوح",TODAY()-L242,M242-L242))</f>
        <v/>
      </c>
      <c r="P242" s="36">
        <f>IF(L242="","",TEXT(L242,"YYYY-MM"))</f>
        <v/>
      </c>
      <c r="Q242" s="45" t="n"/>
    </row>
    <row r="243">
      <c r="A243" s="29">
        <f>IF(B243="","",ROW()-2)</f>
        <v/>
      </c>
      <c r="B243" s="43" t="n"/>
      <c r="C243" s="43" t="n"/>
      <c r="D243" s="43" t="n"/>
      <c r="E243" s="43" t="n"/>
      <c r="F243" s="44" t="n"/>
      <c r="G243" s="44" t="n"/>
      <c r="H243" s="44" t="n"/>
      <c r="I243" s="44" t="n"/>
      <c r="J243" s="33">
        <f>IFERROR(INDEX(Stage_Prob,MATCH(H243,Stage_Names,0)),"")</f>
        <v/>
      </c>
      <c r="K243" s="34">
        <f>IF(OR(H243="",I243=""),"",I243*J243)</f>
        <v/>
      </c>
      <c r="L243" s="44" t="n"/>
      <c r="M243" s="44" t="n"/>
      <c r="N243" s="29">
        <f>IFERROR(INDEX(Stage_Type,MATCH(H243,Stage_Names,0)),"")</f>
        <v/>
      </c>
      <c r="O243" s="29">
        <f>IF(OR(H243="",L243=""),"",IF(N243="مفتوح",TODAY()-L243,M243-L243))</f>
        <v/>
      </c>
      <c r="P243" s="29">
        <f>IF(L243="","",TEXT(L243,"YYYY-MM"))</f>
        <v/>
      </c>
      <c r="Q243" s="43" t="n"/>
    </row>
    <row r="244">
      <c r="A244" s="36">
        <f>IF(B244="","",ROW()-2)</f>
        <v/>
      </c>
      <c r="B244" s="45" t="n"/>
      <c r="C244" s="45" t="n"/>
      <c r="D244" s="45" t="n"/>
      <c r="E244" s="45" t="n"/>
      <c r="F244" s="46" t="n"/>
      <c r="G244" s="46" t="n"/>
      <c r="H244" s="46" t="n"/>
      <c r="I244" s="46" t="n"/>
      <c r="J244" s="40">
        <f>IFERROR(INDEX(Stage_Prob,MATCH(H244,Stage_Names,0)),"")</f>
        <v/>
      </c>
      <c r="K244" s="41">
        <f>IF(OR(H244="",I244=""),"",I244*J244)</f>
        <v/>
      </c>
      <c r="L244" s="46" t="n"/>
      <c r="M244" s="46" t="n"/>
      <c r="N244" s="36">
        <f>IFERROR(INDEX(Stage_Type,MATCH(H244,Stage_Names,0)),"")</f>
        <v/>
      </c>
      <c r="O244" s="36">
        <f>IF(OR(H244="",L244=""),"",IF(N244="مفتوح",TODAY()-L244,M244-L244))</f>
        <v/>
      </c>
      <c r="P244" s="36">
        <f>IF(L244="","",TEXT(L244,"YYYY-MM"))</f>
        <v/>
      </c>
      <c r="Q244" s="45" t="n"/>
    </row>
    <row r="245">
      <c r="A245" s="29">
        <f>IF(B245="","",ROW()-2)</f>
        <v/>
      </c>
      <c r="B245" s="43" t="n"/>
      <c r="C245" s="43" t="n"/>
      <c r="D245" s="43" t="n"/>
      <c r="E245" s="43" t="n"/>
      <c r="F245" s="44" t="n"/>
      <c r="G245" s="44" t="n"/>
      <c r="H245" s="44" t="n"/>
      <c r="I245" s="44" t="n"/>
      <c r="J245" s="33">
        <f>IFERROR(INDEX(Stage_Prob,MATCH(H245,Stage_Names,0)),"")</f>
        <v/>
      </c>
      <c r="K245" s="34">
        <f>IF(OR(H245="",I245=""),"",I245*J245)</f>
        <v/>
      </c>
      <c r="L245" s="44" t="n"/>
      <c r="M245" s="44" t="n"/>
      <c r="N245" s="29">
        <f>IFERROR(INDEX(Stage_Type,MATCH(H245,Stage_Names,0)),"")</f>
        <v/>
      </c>
      <c r="O245" s="29">
        <f>IF(OR(H245="",L245=""),"",IF(N245="مفتوح",TODAY()-L245,M245-L245))</f>
        <v/>
      </c>
      <c r="P245" s="29">
        <f>IF(L245="","",TEXT(L245,"YYYY-MM"))</f>
        <v/>
      </c>
      <c r="Q245" s="43" t="n"/>
    </row>
    <row r="246">
      <c r="A246" s="36">
        <f>IF(B246="","",ROW()-2)</f>
        <v/>
      </c>
      <c r="B246" s="45" t="n"/>
      <c r="C246" s="45" t="n"/>
      <c r="D246" s="45" t="n"/>
      <c r="E246" s="45" t="n"/>
      <c r="F246" s="46" t="n"/>
      <c r="G246" s="46" t="n"/>
      <c r="H246" s="46" t="n"/>
      <c r="I246" s="46" t="n"/>
      <c r="J246" s="40">
        <f>IFERROR(INDEX(Stage_Prob,MATCH(H246,Stage_Names,0)),"")</f>
        <v/>
      </c>
      <c r="K246" s="41">
        <f>IF(OR(H246="",I246=""),"",I246*J246)</f>
        <v/>
      </c>
      <c r="L246" s="46" t="n"/>
      <c r="M246" s="46" t="n"/>
      <c r="N246" s="36">
        <f>IFERROR(INDEX(Stage_Type,MATCH(H246,Stage_Names,0)),"")</f>
        <v/>
      </c>
      <c r="O246" s="36">
        <f>IF(OR(H246="",L246=""),"",IF(N246="مفتوح",TODAY()-L246,M246-L246))</f>
        <v/>
      </c>
      <c r="P246" s="36">
        <f>IF(L246="","",TEXT(L246,"YYYY-MM"))</f>
        <v/>
      </c>
      <c r="Q246" s="45" t="n"/>
    </row>
    <row r="247">
      <c r="A247" s="29">
        <f>IF(B247="","",ROW()-2)</f>
        <v/>
      </c>
      <c r="B247" s="43" t="n"/>
      <c r="C247" s="43" t="n"/>
      <c r="D247" s="43" t="n"/>
      <c r="E247" s="43" t="n"/>
      <c r="F247" s="44" t="n"/>
      <c r="G247" s="44" t="n"/>
      <c r="H247" s="44" t="n"/>
      <c r="I247" s="44" t="n"/>
      <c r="J247" s="33">
        <f>IFERROR(INDEX(Stage_Prob,MATCH(H247,Stage_Names,0)),"")</f>
        <v/>
      </c>
      <c r="K247" s="34">
        <f>IF(OR(H247="",I247=""),"",I247*J247)</f>
        <v/>
      </c>
      <c r="L247" s="44" t="n"/>
      <c r="M247" s="44" t="n"/>
      <c r="N247" s="29">
        <f>IFERROR(INDEX(Stage_Type,MATCH(H247,Stage_Names,0)),"")</f>
        <v/>
      </c>
      <c r="O247" s="29">
        <f>IF(OR(H247="",L247=""),"",IF(N247="مفتوح",TODAY()-L247,M247-L247))</f>
        <v/>
      </c>
      <c r="P247" s="29">
        <f>IF(L247="","",TEXT(L247,"YYYY-MM"))</f>
        <v/>
      </c>
      <c r="Q247" s="43" t="n"/>
    </row>
    <row r="248">
      <c r="A248" s="36">
        <f>IF(B248="","",ROW()-2)</f>
        <v/>
      </c>
      <c r="B248" s="45" t="n"/>
      <c r="C248" s="45" t="n"/>
      <c r="D248" s="45" t="n"/>
      <c r="E248" s="45" t="n"/>
      <c r="F248" s="46" t="n"/>
      <c r="G248" s="46" t="n"/>
      <c r="H248" s="46" t="n"/>
      <c r="I248" s="46" t="n"/>
      <c r="J248" s="40">
        <f>IFERROR(INDEX(Stage_Prob,MATCH(H248,Stage_Names,0)),"")</f>
        <v/>
      </c>
      <c r="K248" s="41">
        <f>IF(OR(H248="",I248=""),"",I248*J248)</f>
        <v/>
      </c>
      <c r="L248" s="46" t="n"/>
      <c r="M248" s="46" t="n"/>
      <c r="N248" s="36">
        <f>IFERROR(INDEX(Stage_Type,MATCH(H248,Stage_Names,0)),"")</f>
        <v/>
      </c>
      <c r="O248" s="36">
        <f>IF(OR(H248="",L248=""),"",IF(N248="مفتوح",TODAY()-L248,M248-L248))</f>
        <v/>
      </c>
      <c r="P248" s="36">
        <f>IF(L248="","",TEXT(L248,"YYYY-MM"))</f>
        <v/>
      </c>
      <c r="Q248" s="45" t="n"/>
    </row>
    <row r="249">
      <c r="A249" s="29">
        <f>IF(B249="","",ROW()-2)</f>
        <v/>
      </c>
      <c r="B249" s="43" t="n"/>
      <c r="C249" s="43" t="n"/>
      <c r="D249" s="43" t="n"/>
      <c r="E249" s="43" t="n"/>
      <c r="F249" s="44" t="n"/>
      <c r="G249" s="44" t="n"/>
      <c r="H249" s="44" t="n"/>
      <c r="I249" s="44" t="n"/>
      <c r="J249" s="33">
        <f>IFERROR(INDEX(Stage_Prob,MATCH(H249,Stage_Names,0)),"")</f>
        <v/>
      </c>
      <c r="K249" s="34">
        <f>IF(OR(H249="",I249=""),"",I249*J249)</f>
        <v/>
      </c>
      <c r="L249" s="44" t="n"/>
      <c r="M249" s="44" t="n"/>
      <c r="N249" s="29">
        <f>IFERROR(INDEX(Stage_Type,MATCH(H249,Stage_Names,0)),"")</f>
        <v/>
      </c>
      <c r="O249" s="29">
        <f>IF(OR(H249="",L249=""),"",IF(N249="مفتوح",TODAY()-L249,M249-L249))</f>
        <v/>
      </c>
      <c r="P249" s="29">
        <f>IF(L249="","",TEXT(L249,"YYYY-MM"))</f>
        <v/>
      </c>
      <c r="Q249" s="43" t="n"/>
    </row>
    <row r="250">
      <c r="A250" s="36">
        <f>IF(B250="","",ROW()-2)</f>
        <v/>
      </c>
      <c r="B250" s="45" t="n"/>
      <c r="C250" s="45" t="n"/>
      <c r="D250" s="45" t="n"/>
      <c r="E250" s="45" t="n"/>
      <c r="F250" s="46" t="n"/>
      <c r="G250" s="46" t="n"/>
      <c r="H250" s="46" t="n"/>
      <c r="I250" s="46" t="n"/>
      <c r="J250" s="40">
        <f>IFERROR(INDEX(Stage_Prob,MATCH(H250,Stage_Names,0)),"")</f>
        <v/>
      </c>
      <c r="K250" s="41">
        <f>IF(OR(H250="",I250=""),"",I250*J250)</f>
        <v/>
      </c>
      <c r="L250" s="46" t="n"/>
      <c r="M250" s="46" t="n"/>
      <c r="N250" s="36">
        <f>IFERROR(INDEX(Stage_Type,MATCH(H250,Stage_Names,0)),"")</f>
        <v/>
      </c>
      <c r="O250" s="36">
        <f>IF(OR(H250="",L250=""),"",IF(N250="مفتوح",TODAY()-L250,M250-L250))</f>
        <v/>
      </c>
      <c r="P250" s="36">
        <f>IF(L250="","",TEXT(L250,"YYYY-MM"))</f>
        <v/>
      </c>
      <c r="Q250" s="45" t="n"/>
    </row>
    <row r="251">
      <c r="A251" s="29">
        <f>IF(B251="","",ROW()-2)</f>
        <v/>
      </c>
      <c r="B251" s="43" t="n"/>
      <c r="C251" s="43" t="n"/>
      <c r="D251" s="43" t="n"/>
      <c r="E251" s="43" t="n"/>
      <c r="F251" s="44" t="n"/>
      <c r="G251" s="44" t="n"/>
      <c r="H251" s="44" t="n"/>
      <c r="I251" s="44" t="n"/>
      <c r="J251" s="33">
        <f>IFERROR(INDEX(Stage_Prob,MATCH(H251,Stage_Names,0)),"")</f>
        <v/>
      </c>
      <c r="K251" s="34">
        <f>IF(OR(H251="",I251=""),"",I251*J251)</f>
        <v/>
      </c>
      <c r="L251" s="44" t="n"/>
      <c r="M251" s="44" t="n"/>
      <c r="N251" s="29">
        <f>IFERROR(INDEX(Stage_Type,MATCH(H251,Stage_Names,0)),"")</f>
        <v/>
      </c>
      <c r="O251" s="29">
        <f>IF(OR(H251="",L251=""),"",IF(N251="مفتوح",TODAY()-L251,M251-L251))</f>
        <v/>
      </c>
      <c r="P251" s="29">
        <f>IF(L251="","",TEXT(L251,"YYYY-MM"))</f>
        <v/>
      </c>
      <c r="Q251" s="43" t="n"/>
    </row>
    <row r="252">
      <c r="A252" s="36">
        <f>IF(B252="","",ROW()-2)</f>
        <v/>
      </c>
      <c r="B252" s="45" t="n"/>
      <c r="C252" s="45" t="n"/>
      <c r="D252" s="45" t="n"/>
      <c r="E252" s="45" t="n"/>
      <c r="F252" s="46" t="n"/>
      <c r="G252" s="46" t="n"/>
      <c r="H252" s="46" t="n"/>
      <c r="I252" s="46" t="n"/>
      <c r="J252" s="40">
        <f>IFERROR(INDEX(Stage_Prob,MATCH(H252,Stage_Names,0)),"")</f>
        <v/>
      </c>
      <c r="K252" s="41">
        <f>IF(OR(H252="",I252=""),"",I252*J252)</f>
        <v/>
      </c>
      <c r="L252" s="46" t="n"/>
      <c r="M252" s="46" t="n"/>
      <c r="N252" s="36">
        <f>IFERROR(INDEX(Stage_Type,MATCH(H252,Stage_Names,0)),"")</f>
        <v/>
      </c>
      <c r="O252" s="36">
        <f>IF(OR(H252="",L252=""),"",IF(N252="مفتوح",TODAY()-L252,M252-L252))</f>
        <v/>
      </c>
      <c r="P252" s="36">
        <f>IF(L252="","",TEXT(L252,"YYYY-MM"))</f>
        <v/>
      </c>
      <c r="Q252" s="45" t="n"/>
    </row>
    <row r="253">
      <c r="A253" s="29">
        <f>IF(B253="","",ROW()-2)</f>
        <v/>
      </c>
      <c r="B253" s="43" t="n"/>
      <c r="C253" s="43" t="n"/>
      <c r="D253" s="43" t="n"/>
      <c r="E253" s="43" t="n"/>
      <c r="F253" s="44" t="n"/>
      <c r="G253" s="44" t="n"/>
      <c r="H253" s="44" t="n"/>
      <c r="I253" s="44" t="n"/>
      <c r="J253" s="33">
        <f>IFERROR(INDEX(Stage_Prob,MATCH(H253,Stage_Names,0)),"")</f>
        <v/>
      </c>
      <c r="K253" s="34">
        <f>IF(OR(H253="",I253=""),"",I253*J253)</f>
        <v/>
      </c>
      <c r="L253" s="44" t="n"/>
      <c r="M253" s="44" t="n"/>
      <c r="N253" s="29">
        <f>IFERROR(INDEX(Stage_Type,MATCH(H253,Stage_Names,0)),"")</f>
        <v/>
      </c>
      <c r="O253" s="29">
        <f>IF(OR(H253="",L253=""),"",IF(N253="مفتوح",TODAY()-L253,M253-L253))</f>
        <v/>
      </c>
      <c r="P253" s="29">
        <f>IF(L253="","",TEXT(L253,"YYYY-MM"))</f>
        <v/>
      </c>
      <c r="Q253" s="43" t="n"/>
    </row>
    <row r="254">
      <c r="A254" s="36">
        <f>IF(B254="","",ROW()-2)</f>
        <v/>
      </c>
      <c r="B254" s="45" t="n"/>
      <c r="C254" s="45" t="n"/>
      <c r="D254" s="45" t="n"/>
      <c r="E254" s="45" t="n"/>
      <c r="F254" s="46" t="n"/>
      <c r="G254" s="46" t="n"/>
      <c r="H254" s="46" t="n"/>
      <c r="I254" s="46" t="n"/>
      <c r="J254" s="40">
        <f>IFERROR(INDEX(Stage_Prob,MATCH(H254,Stage_Names,0)),"")</f>
        <v/>
      </c>
      <c r="K254" s="41">
        <f>IF(OR(H254="",I254=""),"",I254*J254)</f>
        <v/>
      </c>
      <c r="L254" s="46" t="n"/>
      <c r="M254" s="46" t="n"/>
      <c r="N254" s="36">
        <f>IFERROR(INDEX(Stage_Type,MATCH(H254,Stage_Names,0)),"")</f>
        <v/>
      </c>
      <c r="O254" s="36">
        <f>IF(OR(H254="",L254=""),"",IF(N254="مفتوح",TODAY()-L254,M254-L254))</f>
        <v/>
      </c>
      <c r="P254" s="36">
        <f>IF(L254="","",TEXT(L254,"YYYY-MM"))</f>
        <v/>
      </c>
      <c r="Q254" s="45" t="n"/>
    </row>
    <row r="255">
      <c r="A255" s="29">
        <f>IF(B255="","",ROW()-2)</f>
        <v/>
      </c>
      <c r="B255" s="43" t="n"/>
      <c r="C255" s="43" t="n"/>
      <c r="D255" s="43" t="n"/>
      <c r="E255" s="43" t="n"/>
      <c r="F255" s="44" t="n"/>
      <c r="G255" s="44" t="n"/>
      <c r="H255" s="44" t="n"/>
      <c r="I255" s="44" t="n"/>
      <c r="J255" s="33">
        <f>IFERROR(INDEX(Stage_Prob,MATCH(H255,Stage_Names,0)),"")</f>
        <v/>
      </c>
      <c r="K255" s="34">
        <f>IF(OR(H255="",I255=""),"",I255*J255)</f>
        <v/>
      </c>
      <c r="L255" s="44" t="n"/>
      <c r="M255" s="44" t="n"/>
      <c r="N255" s="29">
        <f>IFERROR(INDEX(Stage_Type,MATCH(H255,Stage_Names,0)),"")</f>
        <v/>
      </c>
      <c r="O255" s="29">
        <f>IF(OR(H255="",L255=""),"",IF(N255="مفتوح",TODAY()-L255,M255-L255))</f>
        <v/>
      </c>
      <c r="P255" s="29">
        <f>IF(L255="","",TEXT(L255,"YYYY-MM"))</f>
        <v/>
      </c>
      <c r="Q255" s="43" t="n"/>
    </row>
    <row r="256">
      <c r="A256" s="36">
        <f>IF(B256="","",ROW()-2)</f>
        <v/>
      </c>
      <c r="B256" s="45" t="n"/>
      <c r="C256" s="45" t="n"/>
      <c r="D256" s="45" t="n"/>
      <c r="E256" s="45" t="n"/>
      <c r="F256" s="46" t="n"/>
      <c r="G256" s="46" t="n"/>
      <c r="H256" s="46" t="n"/>
      <c r="I256" s="46" t="n"/>
      <c r="J256" s="40">
        <f>IFERROR(INDEX(Stage_Prob,MATCH(H256,Stage_Names,0)),"")</f>
        <v/>
      </c>
      <c r="K256" s="41">
        <f>IF(OR(H256="",I256=""),"",I256*J256)</f>
        <v/>
      </c>
      <c r="L256" s="46" t="n"/>
      <c r="M256" s="46" t="n"/>
      <c r="N256" s="36">
        <f>IFERROR(INDEX(Stage_Type,MATCH(H256,Stage_Names,0)),"")</f>
        <v/>
      </c>
      <c r="O256" s="36">
        <f>IF(OR(H256="",L256=""),"",IF(N256="مفتوح",TODAY()-L256,M256-L256))</f>
        <v/>
      </c>
      <c r="P256" s="36">
        <f>IF(L256="","",TEXT(L256,"YYYY-MM"))</f>
        <v/>
      </c>
      <c r="Q256" s="45" t="n"/>
    </row>
    <row r="257">
      <c r="A257" s="29">
        <f>IF(B257="","",ROW()-2)</f>
        <v/>
      </c>
      <c r="B257" s="43" t="n"/>
      <c r="C257" s="43" t="n"/>
      <c r="D257" s="43" t="n"/>
      <c r="E257" s="43" t="n"/>
      <c r="F257" s="44" t="n"/>
      <c r="G257" s="44" t="n"/>
      <c r="H257" s="44" t="n"/>
      <c r="I257" s="44" t="n"/>
      <c r="J257" s="33">
        <f>IFERROR(INDEX(Stage_Prob,MATCH(H257,Stage_Names,0)),"")</f>
        <v/>
      </c>
      <c r="K257" s="34">
        <f>IF(OR(H257="",I257=""),"",I257*J257)</f>
        <v/>
      </c>
      <c r="L257" s="44" t="n"/>
      <c r="M257" s="44" t="n"/>
      <c r="N257" s="29">
        <f>IFERROR(INDEX(Stage_Type,MATCH(H257,Stage_Names,0)),"")</f>
        <v/>
      </c>
      <c r="O257" s="29">
        <f>IF(OR(H257="",L257=""),"",IF(N257="مفتوح",TODAY()-L257,M257-L257))</f>
        <v/>
      </c>
      <c r="P257" s="29">
        <f>IF(L257="","",TEXT(L257,"YYYY-MM"))</f>
        <v/>
      </c>
      <c r="Q257" s="43" t="n"/>
    </row>
    <row r="258">
      <c r="A258" s="36">
        <f>IF(B258="","",ROW()-2)</f>
        <v/>
      </c>
      <c r="B258" s="45" t="n"/>
      <c r="C258" s="45" t="n"/>
      <c r="D258" s="45" t="n"/>
      <c r="E258" s="45" t="n"/>
      <c r="F258" s="46" t="n"/>
      <c r="G258" s="46" t="n"/>
      <c r="H258" s="46" t="n"/>
      <c r="I258" s="46" t="n"/>
      <c r="J258" s="40">
        <f>IFERROR(INDEX(Stage_Prob,MATCH(H258,Stage_Names,0)),"")</f>
        <v/>
      </c>
      <c r="K258" s="41">
        <f>IF(OR(H258="",I258=""),"",I258*J258)</f>
        <v/>
      </c>
      <c r="L258" s="46" t="n"/>
      <c r="M258" s="46" t="n"/>
      <c r="N258" s="36">
        <f>IFERROR(INDEX(Stage_Type,MATCH(H258,Stage_Names,0)),"")</f>
        <v/>
      </c>
      <c r="O258" s="36">
        <f>IF(OR(H258="",L258=""),"",IF(N258="مفتوح",TODAY()-L258,M258-L258))</f>
        <v/>
      </c>
      <c r="P258" s="36">
        <f>IF(L258="","",TEXT(L258,"YYYY-MM"))</f>
        <v/>
      </c>
      <c r="Q258" s="45" t="n"/>
    </row>
    <row r="259">
      <c r="A259" s="29">
        <f>IF(B259="","",ROW()-2)</f>
        <v/>
      </c>
      <c r="B259" s="43" t="n"/>
      <c r="C259" s="43" t="n"/>
      <c r="D259" s="43" t="n"/>
      <c r="E259" s="43" t="n"/>
      <c r="F259" s="44" t="n"/>
      <c r="G259" s="44" t="n"/>
      <c r="H259" s="44" t="n"/>
      <c r="I259" s="44" t="n"/>
      <c r="J259" s="33">
        <f>IFERROR(INDEX(Stage_Prob,MATCH(H259,Stage_Names,0)),"")</f>
        <v/>
      </c>
      <c r="K259" s="34">
        <f>IF(OR(H259="",I259=""),"",I259*J259)</f>
        <v/>
      </c>
      <c r="L259" s="44" t="n"/>
      <c r="M259" s="44" t="n"/>
      <c r="N259" s="29">
        <f>IFERROR(INDEX(Stage_Type,MATCH(H259,Stage_Names,0)),"")</f>
        <v/>
      </c>
      <c r="O259" s="29">
        <f>IF(OR(H259="",L259=""),"",IF(N259="مفتوح",TODAY()-L259,M259-L259))</f>
        <v/>
      </c>
      <c r="P259" s="29">
        <f>IF(L259="","",TEXT(L259,"YYYY-MM"))</f>
        <v/>
      </c>
      <c r="Q259" s="43" t="n"/>
    </row>
    <row r="260">
      <c r="A260" s="36">
        <f>IF(B260="","",ROW()-2)</f>
        <v/>
      </c>
      <c r="B260" s="45" t="n"/>
      <c r="C260" s="45" t="n"/>
      <c r="D260" s="45" t="n"/>
      <c r="E260" s="45" t="n"/>
      <c r="F260" s="46" t="n"/>
      <c r="G260" s="46" t="n"/>
      <c r="H260" s="46" t="n"/>
      <c r="I260" s="46" t="n"/>
      <c r="J260" s="40">
        <f>IFERROR(INDEX(Stage_Prob,MATCH(H260,Stage_Names,0)),"")</f>
        <v/>
      </c>
      <c r="K260" s="41">
        <f>IF(OR(H260="",I260=""),"",I260*J260)</f>
        <v/>
      </c>
      <c r="L260" s="46" t="n"/>
      <c r="M260" s="46" t="n"/>
      <c r="N260" s="36">
        <f>IFERROR(INDEX(Stage_Type,MATCH(H260,Stage_Names,0)),"")</f>
        <v/>
      </c>
      <c r="O260" s="36">
        <f>IF(OR(H260="",L260=""),"",IF(N260="مفتوح",TODAY()-L260,M260-L260))</f>
        <v/>
      </c>
      <c r="P260" s="36">
        <f>IF(L260="","",TEXT(L260,"YYYY-MM"))</f>
        <v/>
      </c>
      <c r="Q260" s="45" t="n"/>
    </row>
    <row r="261">
      <c r="A261" s="29">
        <f>IF(B261="","",ROW()-2)</f>
        <v/>
      </c>
      <c r="B261" s="43" t="n"/>
      <c r="C261" s="43" t="n"/>
      <c r="D261" s="43" t="n"/>
      <c r="E261" s="43" t="n"/>
      <c r="F261" s="44" t="n"/>
      <c r="G261" s="44" t="n"/>
      <c r="H261" s="44" t="n"/>
      <c r="I261" s="44" t="n"/>
      <c r="J261" s="33">
        <f>IFERROR(INDEX(Stage_Prob,MATCH(H261,Stage_Names,0)),"")</f>
        <v/>
      </c>
      <c r="K261" s="34">
        <f>IF(OR(H261="",I261=""),"",I261*J261)</f>
        <v/>
      </c>
      <c r="L261" s="44" t="n"/>
      <c r="M261" s="44" t="n"/>
      <c r="N261" s="29">
        <f>IFERROR(INDEX(Stage_Type,MATCH(H261,Stage_Names,0)),"")</f>
        <v/>
      </c>
      <c r="O261" s="29">
        <f>IF(OR(H261="",L261=""),"",IF(N261="مفتوح",TODAY()-L261,M261-L261))</f>
        <v/>
      </c>
      <c r="P261" s="29">
        <f>IF(L261="","",TEXT(L261,"YYYY-MM"))</f>
        <v/>
      </c>
      <c r="Q261" s="43" t="n"/>
    </row>
    <row r="262">
      <c r="A262" s="36">
        <f>IF(B262="","",ROW()-2)</f>
        <v/>
      </c>
      <c r="B262" s="45" t="n"/>
      <c r="C262" s="45" t="n"/>
      <c r="D262" s="45" t="n"/>
      <c r="E262" s="45" t="n"/>
      <c r="F262" s="46" t="n"/>
      <c r="G262" s="46" t="n"/>
      <c r="H262" s="46" t="n"/>
      <c r="I262" s="46" t="n"/>
      <c r="J262" s="40">
        <f>IFERROR(INDEX(Stage_Prob,MATCH(H262,Stage_Names,0)),"")</f>
        <v/>
      </c>
      <c r="K262" s="41">
        <f>IF(OR(H262="",I262=""),"",I262*J262)</f>
        <v/>
      </c>
      <c r="L262" s="46" t="n"/>
      <c r="M262" s="46" t="n"/>
      <c r="N262" s="36">
        <f>IFERROR(INDEX(Stage_Type,MATCH(H262,Stage_Names,0)),"")</f>
        <v/>
      </c>
      <c r="O262" s="36">
        <f>IF(OR(H262="",L262=""),"",IF(N262="مفتوح",TODAY()-L262,M262-L262))</f>
        <v/>
      </c>
      <c r="P262" s="36">
        <f>IF(L262="","",TEXT(L262,"YYYY-MM"))</f>
        <v/>
      </c>
      <c r="Q262" s="45" t="n"/>
    </row>
    <row r="263">
      <c r="A263" s="29">
        <f>IF(B263="","",ROW()-2)</f>
        <v/>
      </c>
      <c r="B263" s="43" t="n"/>
      <c r="C263" s="43" t="n"/>
      <c r="D263" s="43" t="n"/>
      <c r="E263" s="43" t="n"/>
      <c r="F263" s="44" t="n"/>
      <c r="G263" s="44" t="n"/>
      <c r="H263" s="44" t="n"/>
      <c r="I263" s="44" t="n"/>
      <c r="J263" s="33">
        <f>IFERROR(INDEX(Stage_Prob,MATCH(H263,Stage_Names,0)),"")</f>
        <v/>
      </c>
      <c r="K263" s="34">
        <f>IF(OR(H263="",I263=""),"",I263*J263)</f>
        <v/>
      </c>
      <c r="L263" s="44" t="n"/>
      <c r="M263" s="44" t="n"/>
      <c r="N263" s="29">
        <f>IFERROR(INDEX(Stage_Type,MATCH(H263,Stage_Names,0)),"")</f>
        <v/>
      </c>
      <c r="O263" s="29">
        <f>IF(OR(H263="",L263=""),"",IF(N263="مفتوح",TODAY()-L263,M263-L263))</f>
        <v/>
      </c>
      <c r="P263" s="29">
        <f>IF(L263="","",TEXT(L263,"YYYY-MM"))</f>
        <v/>
      </c>
      <c r="Q263" s="43" t="n"/>
    </row>
    <row r="264">
      <c r="A264" s="36">
        <f>IF(B264="","",ROW()-2)</f>
        <v/>
      </c>
      <c r="B264" s="45" t="n"/>
      <c r="C264" s="45" t="n"/>
      <c r="D264" s="45" t="n"/>
      <c r="E264" s="45" t="n"/>
      <c r="F264" s="46" t="n"/>
      <c r="G264" s="46" t="n"/>
      <c r="H264" s="46" t="n"/>
      <c r="I264" s="46" t="n"/>
      <c r="J264" s="40">
        <f>IFERROR(INDEX(Stage_Prob,MATCH(H264,Stage_Names,0)),"")</f>
        <v/>
      </c>
      <c r="K264" s="41">
        <f>IF(OR(H264="",I264=""),"",I264*J264)</f>
        <v/>
      </c>
      <c r="L264" s="46" t="n"/>
      <c r="M264" s="46" t="n"/>
      <c r="N264" s="36">
        <f>IFERROR(INDEX(Stage_Type,MATCH(H264,Stage_Names,0)),"")</f>
        <v/>
      </c>
      <c r="O264" s="36">
        <f>IF(OR(H264="",L264=""),"",IF(N264="مفتوح",TODAY()-L264,M264-L264))</f>
        <v/>
      </c>
      <c r="P264" s="36">
        <f>IF(L264="","",TEXT(L264,"YYYY-MM"))</f>
        <v/>
      </c>
      <c r="Q264" s="45" t="n"/>
    </row>
    <row r="265">
      <c r="A265" s="29">
        <f>IF(B265="","",ROW()-2)</f>
        <v/>
      </c>
      <c r="B265" s="43" t="n"/>
      <c r="C265" s="43" t="n"/>
      <c r="D265" s="43" t="n"/>
      <c r="E265" s="43" t="n"/>
      <c r="F265" s="44" t="n"/>
      <c r="G265" s="44" t="n"/>
      <c r="H265" s="44" t="n"/>
      <c r="I265" s="44" t="n"/>
      <c r="J265" s="33">
        <f>IFERROR(INDEX(Stage_Prob,MATCH(H265,Stage_Names,0)),"")</f>
        <v/>
      </c>
      <c r="K265" s="34">
        <f>IF(OR(H265="",I265=""),"",I265*J265)</f>
        <v/>
      </c>
      <c r="L265" s="44" t="n"/>
      <c r="M265" s="44" t="n"/>
      <c r="N265" s="29">
        <f>IFERROR(INDEX(Stage_Type,MATCH(H265,Stage_Names,0)),"")</f>
        <v/>
      </c>
      <c r="O265" s="29">
        <f>IF(OR(H265="",L265=""),"",IF(N265="مفتوح",TODAY()-L265,M265-L265))</f>
        <v/>
      </c>
      <c r="P265" s="29">
        <f>IF(L265="","",TEXT(L265,"YYYY-MM"))</f>
        <v/>
      </c>
      <c r="Q265" s="43" t="n"/>
    </row>
    <row r="266">
      <c r="A266" s="36">
        <f>IF(B266="","",ROW()-2)</f>
        <v/>
      </c>
      <c r="B266" s="45" t="n"/>
      <c r="C266" s="45" t="n"/>
      <c r="D266" s="45" t="n"/>
      <c r="E266" s="45" t="n"/>
      <c r="F266" s="46" t="n"/>
      <c r="G266" s="46" t="n"/>
      <c r="H266" s="46" t="n"/>
      <c r="I266" s="46" t="n"/>
      <c r="J266" s="40">
        <f>IFERROR(INDEX(Stage_Prob,MATCH(H266,Stage_Names,0)),"")</f>
        <v/>
      </c>
      <c r="K266" s="41">
        <f>IF(OR(H266="",I266=""),"",I266*J266)</f>
        <v/>
      </c>
      <c r="L266" s="46" t="n"/>
      <c r="M266" s="46" t="n"/>
      <c r="N266" s="36">
        <f>IFERROR(INDEX(Stage_Type,MATCH(H266,Stage_Names,0)),"")</f>
        <v/>
      </c>
      <c r="O266" s="36">
        <f>IF(OR(H266="",L266=""),"",IF(N266="مفتوح",TODAY()-L266,M266-L266))</f>
        <v/>
      </c>
      <c r="P266" s="36">
        <f>IF(L266="","",TEXT(L266,"YYYY-MM"))</f>
        <v/>
      </c>
      <c r="Q266" s="45" t="n"/>
    </row>
    <row r="267">
      <c r="A267" s="29">
        <f>IF(B267="","",ROW()-2)</f>
        <v/>
      </c>
      <c r="B267" s="43" t="n"/>
      <c r="C267" s="43" t="n"/>
      <c r="D267" s="43" t="n"/>
      <c r="E267" s="43" t="n"/>
      <c r="F267" s="44" t="n"/>
      <c r="G267" s="44" t="n"/>
      <c r="H267" s="44" t="n"/>
      <c r="I267" s="44" t="n"/>
      <c r="J267" s="33">
        <f>IFERROR(INDEX(Stage_Prob,MATCH(H267,Stage_Names,0)),"")</f>
        <v/>
      </c>
      <c r="K267" s="34">
        <f>IF(OR(H267="",I267=""),"",I267*J267)</f>
        <v/>
      </c>
      <c r="L267" s="44" t="n"/>
      <c r="M267" s="44" t="n"/>
      <c r="N267" s="29">
        <f>IFERROR(INDEX(Stage_Type,MATCH(H267,Stage_Names,0)),"")</f>
        <v/>
      </c>
      <c r="O267" s="29">
        <f>IF(OR(H267="",L267=""),"",IF(N267="مفتوح",TODAY()-L267,M267-L267))</f>
        <v/>
      </c>
      <c r="P267" s="29">
        <f>IF(L267="","",TEXT(L267,"YYYY-MM"))</f>
        <v/>
      </c>
      <c r="Q267" s="43" t="n"/>
    </row>
    <row r="268">
      <c r="A268" s="36">
        <f>IF(B268="","",ROW()-2)</f>
        <v/>
      </c>
      <c r="B268" s="45" t="n"/>
      <c r="C268" s="45" t="n"/>
      <c r="D268" s="45" t="n"/>
      <c r="E268" s="45" t="n"/>
      <c r="F268" s="46" t="n"/>
      <c r="G268" s="46" t="n"/>
      <c r="H268" s="46" t="n"/>
      <c r="I268" s="46" t="n"/>
      <c r="J268" s="40">
        <f>IFERROR(INDEX(Stage_Prob,MATCH(H268,Stage_Names,0)),"")</f>
        <v/>
      </c>
      <c r="K268" s="41">
        <f>IF(OR(H268="",I268=""),"",I268*J268)</f>
        <v/>
      </c>
      <c r="L268" s="46" t="n"/>
      <c r="M268" s="46" t="n"/>
      <c r="N268" s="36">
        <f>IFERROR(INDEX(Stage_Type,MATCH(H268,Stage_Names,0)),"")</f>
        <v/>
      </c>
      <c r="O268" s="36">
        <f>IF(OR(H268="",L268=""),"",IF(N268="مفتوح",TODAY()-L268,M268-L268))</f>
        <v/>
      </c>
      <c r="P268" s="36">
        <f>IF(L268="","",TEXT(L268,"YYYY-MM"))</f>
        <v/>
      </c>
      <c r="Q268" s="45" t="n"/>
    </row>
    <row r="269">
      <c r="A269" s="29">
        <f>IF(B269="","",ROW()-2)</f>
        <v/>
      </c>
      <c r="B269" s="43" t="n"/>
      <c r="C269" s="43" t="n"/>
      <c r="D269" s="43" t="n"/>
      <c r="E269" s="43" t="n"/>
      <c r="F269" s="44" t="n"/>
      <c r="G269" s="44" t="n"/>
      <c r="H269" s="44" t="n"/>
      <c r="I269" s="44" t="n"/>
      <c r="J269" s="33">
        <f>IFERROR(INDEX(Stage_Prob,MATCH(H269,Stage_Names,0)),"")</f>
        <v/>
      </c>
      <c r="K269" s="34">
        <f>IF(OR(H269="",I269=""),"",I269*J269)</f>
        <v/>
      </c>
      <c r="L269" s="44" t="n"/>
      <c r="M269" s="44" t="n"/>
      <c r="N269" s="29">
        <f>IFERROR(INDEX(Stage_Type,MATCH(H269,Stage_Names,0)),"")</f>
        <v/>
      </c>
      <c r="O269" s="29">
        <f>IF(OR(H269="",L269=""),"",IF(N269="مفتوح",TODAY()-L269,M269-L269))</f>
        <v/>
      </c>
      <c r="P269" s="29">
        <f>IF(L269="","",TEXT(L269,"YYYY-MM"))</f>
        <v/>
      </c>
      <c r="Q269" s="43" t="n"/>
    </row>
    <row r="270">
      <c r="A270" s="36">
        <f>IF(B270="","",ROW()-2)</f>
        <v/>
      </c>
      <c r="B270" s="45" t="n"/>
      <c r="C270" s="45" t="n"/>
      <c r="D270" s="45" t="n"/>
      <c r="E270" s="45" t="n"/>
      <c r="F270" s="46" t="n"/>
      <c r="G270" s="46" t="n"/>
      <c r="H270" s="46" t="n"/>
      <c r="I270" s="46" t="n"/>
      <c r="J270" s="40">
        <f>IFERROR(INDEX(Stage_Prob,MATCH(H270,Stage_Names,0)),"")</f>
        <v/>
      </c>
      <c r="K270" s="41">
        <f>IF(OR(H270="",I270=""),"",I270*J270)</f>
        <v/>
      </c>
      <c r="L270" s="46" t="n"/>
      <c r="M270" s="46" t="n"/>
      <c r="N270" s="36">
        <f>IFERROR(INDEX(Stage_Type,MATCH(H270,Stage_Names,0)),"")</f>
        <v/>
      </c>
      <c r="O270" s="36">
        <f>IF(OR(H270="",L270=""),"",IF(N270="مفتوح",TODAY()-L270,M270-L270))</f>
        <v/>
      </c>
      <c r="P270" s="36">
        <f>IF(L270="","",TEXT(L270,"YYYY-MM"))</f>
        <v/>
      </c>
      <c r="Q270" s="45" t="n"/>
    </row>
    <row r="271">
      <c r="A271" s="29">
        <f>IF(B271="","",ROW()-2)</f>
        <v/>
      </c>
      <c r="B271" s="43" t="n"/>
      <c r="C271" s="43" t="n"/>
      <c r="D271" s="43" t="n"/>
      <c r="E271" s="43" t="n"/>
      <c r="F271" s="44" t="n"/>
      <c r="G271" s="44" t="n"/>
      <c r="H271" s="44" t="n"/>
      <c r="I271" s="44" t="n"/>
      <c r="J271" s="33">
        <f>IFERROR(INDEX(Stage_Prob,MATCH(H271,Stage_Names,0)),"")</f>
        <v/>
      </c>
      <c r="K271" s="34">
        <f>IF(OR(H271="",I271=""),"",I271*J271)</f>
        <v/>
      </c>
      <c r="L271" s="44" t="n"/>
      <c r="M271" s="44" t="n"/>
      <c r="N271" s="29">
        <f>IFERROR(INDEX(Stage_Type,MATCH(H271,Stage_Names,0)),"")</f>
        <v/>
      </c>
      <c r="O271" s="29">
        <f>IF(OR(H271="",L271=""),"",IF(N271="مفتوح",TODAY()-L271,M271-L271))</f>
        <v/>
      </c>
      <c r="P271" s="29">
        <f>IF(L271="","",TEXT(L271,"YYYY-MM"))</f>
        <v/>
      </c>
      <c r="Q271" s="43" t="n"/>
    </row>
    <row r="272">
      <c r="A272" s="36">
        <f>IF(B272="","",ROW()-2)</f>
        <v/>
      </c>
      <c r="B272" s="45" t="n"/>
      <c r="C272" s="45" t="n"/>
      <c r="D272" s="45" t="n"/>
      <c r="E272" s="45" t="n"/>
      <c r="F272" s="46" t="n"/>
      <c r="G272" s="46" t="n"/>
      <c r="H272" s="46" t="n"/>
      <c r="I272" s="46" t="n"/>
      <c r="J272" s="40">
        <f>IFERROR(INDEX(Stage_Prob,MATCH(H272,Stage_Names,0)),"")</f>
        <v/>
      </c>
      <c r="K272" s="41">
        <f>IF(OR(H272="",I272=""),"",I272*J272)</f>
        <v/>
      </c>
      <c r="L272" s="46" t="n"/>
      <c r="M272" s="46" t="n"/>
      <c r="N272" s="36">
        <f>IFERROR(INDEX(Stage_Type,MATCH(H272,Stage_Names,0)),"")</f>
        <v/>
      </c>
      <c r="O272" s="36">
        <f>IF(OR(H272="",L272=""),"",IF(N272="مفتوح",TODAY()-L272,M272-L272))</f>
        <v/>
      </c>
      <c r="P272" s="36">
        <f>IF(L272="","",TEXT(L272,"YYYY-MM"))</f>
        <v/>
      </c>
      <c r="Q272" s="45" t="n"/>
    </row>
    <row r="273">
      <c r="A273" s="29">
        <f>IF(B273="","",ROW()-2)</f>
        <v/>
      </c>
      <c r="B273" s="43" t="n"/>
      <c r="C273" s="43" t="n"/>
      <c r="D273" s="43" t="n"/>
      <c r="E273" s="43" t="n"/>
      <c r="F273" s="44" t="n"/>
      <c r="G273" s="44" t="n"/>
      <c r="H273" s="44" t="n"/>
      <c r="I273" s="44" t="n"/>
      <c r="J273" s="33">
        <f>IFERROR(INDEX(Stage_Prob,MATCH(H273,Stage_Names,0)),"")</f>
        <v/>
      </c>
      <c r="K273" s="34">
        <f>IF(OR(H273="",I273=""),"",I273*J273)</f>
        <v/>
      </c>
      <c r="L273" s="44" t="n"/>
      <c r="M273" s="44" t="n"/>
      <c r="N273" s="29">
        <f>IFERROR(INDEX(Stage_Type,MATCH(H273,Stage_Names,0)),"")</f>
        <v/>
      </c>
      <c r="O273" s="29">
        <f>IF(OR(H273="",L273=""),"",IF(N273="مفتوح",TODAY()-L273,M273-L273))</f>
        <v/>
      </c>
      <c r="P273" s="29">
        <f>IF(L273="","",TEXT(L273,"YYYY-MM"))</f>
        <v/>
      </c>
      <c r="Q273" s="43" t="n"/>
    </row>
    <row r="274">
      <c r="A274" s="36">
        <f>IF(B274="","",ROW()-2)</f>
        <v/>
      </c>
      <c r="B274" s="45" t="n"/>
      <c r="C274" s="45" t="n"/>
      <c r="D274" s="45" t="n"/>
      <c r="E274" s="45" t="n"/>
      <c r="F274" s="46" t="n"/>
      <c r="G274" s="46" t="n"/>
      <c r="H274" s="46" t="n"/>
      <c r="I274" s="46" t="n"/>
      <c r="J274" s="40">
        <f>IFERROR(INDEX(Stage_Prob,MATCH(H274,Stage_Names,0)),"")</f>
        <v/>
      </c>
      <c r="K274" s="41">
        <f>IF(OR(H274="",I274=""),"",I274*J274)</f>
        <v/>
      </c>
      <c r="L274" s="46" t="n"/>
      <c r="M274" s="46" t="n"/>
      <c r="N274" s="36">
        <f>IFERROR(INDEX(Stage_Type,MATCH(H274,Stage_Names,0)),"")</f>
        <v/>
      </c>
      <c r="O274" s="36">
        <f>IF(OR(H274="",L274=""),"",IF(N274="مفتوح",TODAY()-L274,M274-L274))</f>
        <v/>
      </c>
      <c r="P274" s="36">
        <f>IF(L274="","",TEXT(L274,"YYYY-MM"))</f>
        <v/>
      </c>
      <c r="Q274" s="45" t="n"/>
    </row>
    <row r="275">
      <c r="A275" s="29">
        <f>IF(B275="","",ROW()-2)</f>
        <v/>
      </c>
      <c r="B275" s="43" t="n"/>
      <c r="C275" s="43" t="n"/>
      <c r="D275" s="43" t="n"/>
      <c r="E275" s="43" t="n"/>
      <c r="F275" s="44" t="n"/>
      <c r="G275" s="44" t="n"/>
      <c r="H275" s="44" t="n"/>
      <c r="I275" s="44" t="n"/>
      <c r="J275" s="33">
        <f>IFERROR(INDEX(Stage_Prob,MATCH(H275,Stage_Names,0)),"")</f>
        <v/>
      </c>
      <c r="K275" s="34">
        <f>IF(OR(H275="",I275=""),"",I275*J275)</f>
        <v/>
      </c>
      <c r="L275" s="44" t="n"/>
      <c r="M275" s="44" t="n"/>
      <c r="N275" s="29">
        <f>IFERROR(INDEX(Stage_Type,MATCH(H275,Stage_Names,0)),"")</f>
        <v/>
      </c>
      <c r="O275" s="29">
        <f>IF(OR(H275="",L275=""),"",IF(N275="مفتوح",TODAY()-L275,M275-L275))</f>
        <v/>
      </c>
      <c r="P275" s="29">
        <f>IF(L275="","",TEXT(L275,"YYYY-MM"))</f>
        <v/>
      </c>
      <c r="Q275" s="43" t="n"/>
    </row>
    <row r="276">
      <c r="A276" s="36">
        <f>IF(B276="","",ROW()-2)</f>
        <v/>
      </c>
      <c r="B276" s="45" t="n"/>
      <c r="C276" s="45" t="n"/>
      <c r="D276" s="45" t="n"/>
      <c r="E276" s="45" t="n"/>
      <c r="F276" s="46" t="n"/>
      <c r="G276" s="46" t="n"/>
      <c r="H276" s="46" t="n"/>
      <c r="I276" s="46" t="n"/>
      <c r="J276" s="40">
        <f>IFERROR(INDEX(Stage_Prob,MATCH(H276,Stage_Names,0)),"")</f>
        <v/>
      </c>
      <c r="K276" s="41">
        <f>IF(OR(H276="",I276=""),"",I276*J276)</f>
        <v/>
      </c>
      <c r="L276" s="46" t="n"/>
      <c r="M276" s="46" t="n"/>
      <c r="N276" s="36">
        <f>IFERROR(INDEX(Stage_Type,MATCH(H276,Stage_Names,0)),"")</f>
        <v/>
      </c>
      <c r="O276" s="36">
        <f>IF(OR(H276="",L276=""),"",IF(N276="مفتوح",TODAY()-L276,M276-L276))</f>
        <v/>
      </c>
      <c r="P276" s="36">
        <f>IF(L276="","",TEXT(L276,"YYYY-MM"))</f>
        <v/>
      </c>
      <c r="Q276" s="45" t="n"/>
    </row>
    <row r="277">
      <c r="A277" s="29">
        <f>IF(B277="","",ROW()-2)</f>
        <v/>
      </c>
      <c r="B277" s="43" t="n"/>
      <c r="C277" s="43" t="n"/>
      <c r="D277" s="43" t="n"/>
      <c r="E277" s="43" t="n"/>
      <c r="F277" s="44" t="n"/>
      <c r="G277" s="44" t="n"/>
      <c r="H277" s="44" t="n"/>
      <c r="I277" s="44" t="n"/>
      <c r="J277" s="33">
        <f>IFERROR(INDEX(Stage_Prob,MATCH(H277,Stage_Names,0)),"")</f>
        <v/>
      </c>
      <c r="K277" s="34">
        <f>IF(OR(H277="",I277=""),"",I277*J277)</f>
        <v/>
      </c>
      <c r="L277" s="44" t="n"/>
      <c r="M277" s="44" t="n"/>
      <c r="N277" s="29">
        <f>IFERROR(INDEX(Stage_Type,MATCH(H277,Stage_Names,0)),"")</f>
        <v/>
      </c>
      <c r="O277" s="29">
        <f>IF(OR(H277="",L277=""),"",IF(N277="مفتوح",TODAY()-L277,M277-L277))</f>
        <v/>
      </c>
      <c r="P277" s="29">
        <f>IF(L277="","",TEXT(L277,"YYYY-MM"))</f>
        <v/>
      </c>
      <c r="Q277" s="43" t="n"/>
    </row>
    <row r="278">
      <c r="A278" s="36">
        <f>IF(B278="","",ROW()-2)</f>
        <v/>
      </c>
      <c r="B278" s="45" t="n"/>
      <c r="C278" s="45" t="n"/>
      <c r="D278" s="45" t="n"/>
      <c r="E278" s="45" t="n"/>
      <c r="F278" s="46" t="n"/>
      <c r="G278" s="46" t="n"/>
      <c r="H278" s="46" t="n"/>
      <c r="I278" s="46" t="n"/>
      <c r="J278" s="40">
        <f>IFERROR(INDEX(Stage_Prob,MATCH(H278,Stage_Names,0)),"")</f>
        <v/>
      </c>
      <c r="K278" s="41">
        <f>IF(OR(H278="",I278=""),"",I278*J278)</f>
        <v/>
      </c>
      <c r="L278" s="46" t="n"/>
      <c r="M278" s="46" t="n"/>
      <c r="N278" s="36">
        <f>IFERROR(INDEX(Stage_Type,MATCH(H278,Stage_Names,0)),"")</f>
        <v/>
      </c>
      <c r="O278" s="36">
        <f>IF(OR(H278="",L278=""),"",IF(N278="مفتوح",TODAY()-L278,M278-L278))</f>
        <v/>
      </c>
      <c r="P278" s="36">
        <f>IF(L278="","",TEXT(L278,"YYYY-MM"))</f>
        <v/>
      </c>
      <c r="Q278" s="45" t="n"/>
    </row>
    <row r="279">
      <c r="A279" s="29">
        <f>IF(B279="","",ROW()-2)</f>
        <v/>
      </c>
      <c r="B279" s="43" t="n"/>
      <c r="C279" s="43" t="n"/>
      <c r="D279" s="43" t="n"/>
      <c r="E279" s="43" t="n"/>
      <c r="F279" s="44" t="n"/>
      <c r="G279" s="44" t="n"/>
      <c r="H279" s="44" t="n"/>
      <c r="I279" s="44" t="n"/>
      <c r="J279" s="33">
        <f>IFERROR(INDEX(Stage_Prob,MATCH(H279,Stage_Names,0)),"")</f>
        <v/>
      </c>
      <c r="K279" s="34">
        <f>IF(OR(H279="",I279=""),"",I279*J279)</f>
        <v/>
      </c>
      <c r="L279" s="44" t="n"/>
      <c r="M279" s="44" t="n"/>
      <c r="N279" s="29">
        <f>IFERROR(INDEX(Stage_Type,MATCH(H279,Stage_Names,0)),"")</f>
        <v/>
      </c>
      <c r="O279" s="29">
        <f>IF(OR(H279="",L279=""),"",IF(N279="مفتوح",TODAY()-L279,M279-L279))</f>
        <v/>
      </c>
      <c r="P279" s="29">
        <f>IF(L279="","",TEXT(L279,"YYYY-MM"))</f>
        <v/>
      </c>
      <c r="Q279" s="43" t="n"/>
    </row>
    <row r="280">
      <c r="A280" s="36">
        <f>IF(B280="","",ROW()-2)</f>
        <v/>
      </c>
      <c r="B280" s="45" t="n"/>
      <c r="C280" s="45" t="n"/>
      <c r="D280" s="45" t="n"/>
      <c r="E280" s="45" t="n"/>
      <c r="F280" s="46" t="n"/>
      <c r="G280" s="46" t="n"/>
      <c r="H280" s="46" t="n"/>
      <c r="I280" s="46" t="n"/>
      <c r="J280" s="40">
        <f>IFERROR(INDEX(Stage_Prob,MATCH(H280,Stage_Names,0)),"")</f>
        <v/>
      </c>
      <c r="K280" s="41">
        <f>IF(OR(H280="",I280=""),"",I280*J280)</f>
        <v/>
      </c>
      <c r="L280" s="46" t="n"/>
      <c r="M280" s="46" t="n"/>
      <c r="N280" s="36">
        <f>IFERROR(INDEX(Stage_Type,MATCH(H280,Stage_Names,0)),"")</f>
        <v/>
      </c>
      <c r="O280" s="36">
        <f>IF(OR(H280="",L280=""),"",IF(N280="مفتوح",TODAY()-L280,M280-L280))</f>
        <v/>
      </c>
      <c r="P280" s="36">
        <f>IF(L280="","",TEXT(L280,"YYYY-MM"))</f>
        <v/>
      </c>
      <c r="Q280" s="45" t="n"/>
    </row>
    <row r="281">
      <c r="A281" s="29">
        <f>IF(B281="","",ROW()-2)</f>
        <v/>
      </c>
      <c r="B281" s="43" t="n"/>
      <c r="C281" s="43" t="n"/>
      <c r="D281" s="43" t="n"/>
      <c r="E281" s="43" t="n"/>
      <c r="F281" s="44" t="n"/>
      <c r="G281" s="44" t="n"/>
      <c r="H281" s="44" t="n"/>
      <c r="I281" s="44" t="n"/>
      <c r="J281" s="33">
        <f>IFERROR(INDEX(Stage_Prob,MATCH(H281,Stage_Names,0)),"")</f>
        <v/>
      </c>
      <c r="K281" s="34">
        <f>IF(OR(H281="",I281=""),"",I281*J281)</f>
        <v/>
      </c>
      <c r="L281" s="44" t="n"/>
      <c r="M281" s="44" t="n"/>
      <c r="N281" s="29">
        <f>IFERROR(INDEX(Stage_Type,MATCH(H281,Stage_Names,0)),"")</f>
        <v/>
      </c>
      <c r="O281" s="29">
        <f>IF(OR(H281="",L281=""),"",IF(N281="مفتوح",TODAY()-L281,M281-L281))</f>
        <v/>
      </c>
      <c r="P281" s="29">
        <f>IF(L281="","",TEXT(L281,"YYYY-MM"))</f>
        <v/>
      </c>
      <c r="Q281" s="43" t="n"/>
    </row>
    <row r="282">
      <c r="A282" s="36">
        <f>IF(B282="","",ROW()-2)</f>
        <v/>
      </c>
      <c r="B282" s="45" t="n"/>
      <c r="C282" s="45" t="n"/>
      <c r="D282" s="45" t="n"/>
      <c r="E282" s="45" t="n"/>
      <c r="F282" s="46" t="n"/>
      <c r="G282" s="46" t="n"/>
      <c r="H282" s="46" t="n"/>
      <c r="I282" s="46" t="n"/>
      <c r="J282" s="40">
        <f>IFERROR(INDEX(Stage_Prob,MATCH(H282,Stage_Names,0)),"")</f>
        <v/>
      </c>
      <c r="K282" s="41">
        <f>IF(OR(H282="",I282=""),"",I282*J282)</f>
        <v/>
      </c>
      <c r="L282" s="46" t="n"/>
      <c r="M282" s="46" t="n"/>
      <c r="N282" s="36">
        <f>IFERROR(INDEX(Stage_Type,MATCH(H282,Stage_Names,0)),"")</f>
        <v/>
      </c>
      <c r="O282" s="36">
        <f>IF(OR(H282="",L282=""),"",IF(N282="مفتوح",TODAY()-L282,M282-L282))</f>
        <v/>
      </c>
      <c r="P282" s="36">
        <f>IF(L282="","",TEXT(L282,"YYYY-MM"))</f>
        <v/>
      </c>
      <c r="Q282" s="45" t="n"/>
    </row>
    <row r="283">
      <c r="A283" s="29">
        <f>IF(B283="","",ROW()-2)</f>
        <v/>
      </c>
      <c r="B283" s="43" t="n"/>
      <c r="C283" s="43" t="n"/>
      <c r="D283" s="43" t="n"/>
      <c r="E283" s="43" t="n"/>
      <c r="F283" s="44" t="n"/>
      <c r="G283" s="44" t="n"/>
      <c r="H283" s="44" t="n"/>
      <c r="I283" s="44" t="n"/>
      <c r="J283" s="33">
        <f>IFERROR(INDEX(Stage_Prob,MATCH(H283,Stage_Names,0)),"")</f>
        <v/>
      </c>
      <c r="K283" s="34">
        <f>IF(OR(H283="",I283=""),"",I283*J283)</f>
        <v/>
      </c>
      <c r="L283" s="44" t="n"/>
      <c r="M283" s="44" t="n"/>
      <c r="N283" s="29">
        <f>IFERROR(INDEX(Stage_Type,MATCH(H283,Stage_Names,0)),"")</f>
        <v/>
      </c>
      <c r="O283" s="29">
        <f>IF(OR(H283="",L283=""),"",IF(N283="مفتوح",TODAY()-L283,M283-L283))</f>
        <v/>
      </c>
      <c r="P283" s="29">
        <f>IF(L283="","",TEXT(L283,"YYYY-MM"))</f>
        <v/>
      </c>
      <c r="Q283" s="43" t="n"/>
    </row>
    <row r="284">
      <c r="A284" s="36">
        <f>IF(B284="","",ROW()-2)</f>
        <v/>
      </c>
      <c r="B284" s="45" t="n"/>
      <c r="C284" s="45" t="n"/>
      <c r="D284" s="45" t="n"/>
      <c r="E284" s="45" t="n"/>
      <c r="F284" s="46" t="n"/>
      <c r="G284" s="46" t="n"/>
      <c r="H284" s="46" t="n"/>
      <c r="I284" s="46" t="n"/>
      <c r="J284" s="40">
        <f>IFERROR(INDEX(Stage_Prob,MATCH(H284,Stage_Names,0)),"")</f>
        <v/>
      </c>
      <c r="K284" s="41">
        <f>IF(OR(H284="",I284=""),"",I284*J284)</f>
        <v/>
      </c>
      <c r="L284" s="46" t="n"/>
      <c r="M284" s="46" t="n"/>
      <c r="N284" s="36">
        <f>IFERROR(INDEX(Stage_Type,MATCH(H284,Stage_Names,0)),"")</f>
        <v/>
      </c>
      <c r="O284" s="36">
        <f>IF(OR(H284="",L284=""),"",IF(N284="مفتوح",TODAY()-L284,M284-L284))</f>
        <v/>
      </c>
      <c r="P284" s="36">
        <f>IF(L284="","",TEXT(L284,"YYYY-MM"))</f>
        <v/>
      </c>
      <c r="Q284" s="45" t="n"/>
    </row>
    <row r="285">
      <c r="A285" s="29">
        <f>IF(B285="","",ROW()-2)</f>
        <v/>
      </c>
      <c r="B285" s="43" t="n"/>
      <c r="C285" s="43" t="n"/>
      <c r="D285" s="43" t="n"/>
      <c r="E285" s="43" t="n"/>
      <c r="F285" s="44" t="n"/>
      <c r="G285" s="44" t="n"/>
      <c r="H285" s="44" t="n"/>
      <c r="I285" s="44" t="n"/>
      <c r="J285" s="33">
        <f>IFERROR(INDEX(Stage_Prob,MATCH(H285,Stage_Names,0)),"")</f>
        <v/>
      </c>
      <c r="K285" s="34">
        <f>IF(OR(H285="",I285=""),"",I285*J285)</f>
        <v/>
      </c>
      <c r="L285" s="44" t="n"/>
      <c r="M285" s="44" t="n"/>
      <c r="N285" s="29">
        <f>IFERROR(INDEX(Stage_Type,MATCH(H285,Stage_Names,0)),"")</f>
        <v/>
      </c>
      <c r="O285" s="29">
        <f>IF(OR(H285="",L285=""),"",IF(N285="مفتوح",TODAY()-L285,M285-L285))</f>
        <v/>
      </c>
      <c r="P285" s="29">
        <f>IF(L285="","",TEXT(L285,"YYYY-MM"))</f>
        <v/>
      </c>
      <c r="Q285" s="43" t="n"/>
    </row>
    <row r="286">
      <c r="A286" s="36">
        <f>IF(B286="","",ROW()-2)</f>
        <v/>
      </c>
      <c r="B286" s="45" t="n"/>
      <c r="C286" s="45" t="n"/>
      <c r="D286" s="45" t="n"/>
      <c r="E286" s="45" t="n"/>
      <c r="F286" s="46" t="n"/>
      <c r="G286" s="46" t="n"/>
      <c r="H286" s="46" t="n"/>
      <c r="I286" s="46" t="n"/>
      <c r="J286" s="40">
        <f>IFERROR(INDEX(Stage_Prob,MATCH(H286,Stage_Names,0)),"")</f>
        <v/>
      </c>
      <c r="K286" s="41">
        <f>IF(OR(H286="",I286=""),"",I286*J286)</f>
        <v/>
      </c>
      <c r="L286" s="46" t="n"/>
      <c r="M286" s="46" t="n"/>
      <c r="N286" s="36">
        <f>IFERROR(INDEX(Stage_Type,MATCH(H286,Stage_Names,0)),"")</f>
        <v/>
      </c>
      <c r="O286" s="36">
        <f>IF(OR(H286="",L286=""),"",IF(N286="مفتوح",TODAY()-L286,M286-L286))</f>
        <v/>
      </c>
      <c r="P286" s="36">
        <f>IF(L286="","",TEXT(L286,"YYYY-MM"))</f>
        <v/>
      </c>
      <c r="Q286" s="45" t="n"/>
    </row>
    <row r="287">
      <c r="A287" s="29">
        <f>IF(B287="","",ROW()-2)</f>
        <v/>
      </c>
      <c r="B287" s="43" t="n"/>
      <c r="C287" s="43" t="n"/>
      <c r="D287" s="43" t="n"/>
      <c r="E287" s="43" t="n"/>
      <c r="F287" s="44" t="n"/>
      <c r="G287" s="44" t="n"/>
      <c r="H287" s="44" t="n"/>
      <c r="I287" s="44" t="n"/>
      <c r="J287" s="33">
        <f>IFERROR(INDEX(Stage_Prob,MATCH(H287,Stage_Names,0)),"")</f>
        <v/>
      </c>
      <c r="K287" s="34">
        <f>IF(OR(H287="",I287=""),"",I287*J287)</f>
        <v/>
      </c>
      <c r="L287" s="44" t="n"/>
      <c r="M287" s="44" t="n"/>
      <c r="N287" s="29">
        <f>IFERROR(INDEX(Stage_Type,MATCH(H287,Stage_Names,0)),"")</f>
        <v/>
      </c>
      <c r="O287" s="29">
        <f>IF(OR(H287="",L287=""),"",IF(N287="مفتوح",TODAY()-L287,M287-L287))</f>
        <v/>
      </c>
      <c r="P287" s="29">
        <f>IF(L287="","",TEXT(L287,"YYYY-MM"))</f>
        <v/>
      </c>
      <c r="Q287" s="43" t="n"/>
    </row>
    <row r="288">
      <c r="A288" s="36">
        <f>IF(B288="","",ROW()-2)</f>
        <v/>
      </c>
      <c r="B288" s="45" t="n"/>
      <c r="C288" s="45" t="n"/>
      <c r="D288" s="45" t="n"/>
      <c r="E288" s="45" t="n"/>
      <c r="F288" s="46" t="n"/>
      <c r="G288" s="46" t="n"/>
      <c r="H288" s="46" t="n"/>
      <c r="I288" s="46" t="n"/>
      <c r="J288" s="40">
        <f>IFERROR(INDEX(Stage_Prob,MATCH(H288,Stage_Names,0)),"")</f>
        <v/>
      </c>
      <c r="K288" s="41">
        <f>IF(OR(H288="",I288=""),"",I288*J288)</f>
        <v/>
      </c>
      <c r="L288" s="46" t="n"/>
      <c r="M288" s="46" t="n"/>
      <c r="N288" s="36">
        <f>IFERROR(INDEX(Stage_Type,MATCH(H288,Stage_Names,0)),"")</f>
        <v/>
      </c>
      <c r="O288" s="36">
        <f>IF(OR(H288="",L288=""),"",IF(N288="مفتوح",TODAY()-L288,M288-L288))</f>
        <v/>
      </c>
      <c r="P288" s="36">
        <f>IF(L288="","",TEXT(L288,"YYYY-MM"))</f>
        <v/>
      </c>
      <c r="Q288" s="45" t="n"/>
    </row>
    <row r="289">
      <c r="A289" s="29">
        <f>IF(B289="","",ROW()-2)</f>
        <v/>
      </c>
      <c r="B289" s="43" t="n"/>
      <c r="C289" s="43" t="n"/>
      <c r="D289" s="43" t="n"/>
      <c r="E289" s="43" t="n"/>
      <c r="F289" s="44" t="n"/>
      <c r="G289" s="44" t="n"/>
      <c r="H289" s="44" t="n"/>
      <c r="I289" s="44" t="n"/>
      <c r="J289" s="33">
        <f>IFERROR(INDEX(Stage_Prob,MATCH(H289,Stage_Names,0)),"")</f>
        <v/>
      </c>
      <c r="K289" s="34">
        <f>IF(OR(H289="",I289=""),"",I289*J289)</f>
        <v/>
      </c>
      <c r="L289" s="44" t="n"/>
      <c r="M289" s="44" t="n"/>
      <c r="N289" s="29">
        <f>IFERROR(INDEX(Stage_Type,MATCH(H289,Stage_Names,0)),"")</f>
        <v/>
      </c>
      <c r="O289" s="29">
        <f>IF(OR(H289="",L289=""),"",IF(N289="مفتوح",TODAY()-L289,M289-L289))</f>
        <v/>
      </c>
      <c r="P289" s="29">
        <f>IF(L289="","",TEXT(L289,"YYYY-MM"))</f>
        <v/>
      </c>
      <c r="Q289" s="43" t="n"/>
    </row>
    <row r="290">
      <c r="A290" s="36">
        <f>IF(B290="","",ROW()-2)</f>
        <v/>
      </c>
      <c r="B290" s="45" t="n"/>
      <c r="C290" s="45" t="n"/>
      <c r="D290" s="45" t="n"/>
      <c r="E290" s="45" t="n"/>
      <c r="F290" s="46" t="n"/>
      <c r="G290" s="46" t="n"/>
      <c r="H290" s="46" t="n"/>
      <c r="I290" s="46" t="n"/>
      <c r="J290" s="40">
        <f>IFERROR(INDEX(Stage_Prob,MATCH(H290,Stage_Names,0)),"")</f>
        <v/>
      </c>
      <c r="K290" s="41">
        <f>IF(OR(H290="",I290=""),"",I290*J290)</f>
        <v/>
      </c>
      <c r="L290" s="46" t="n"/>
      <c r="M290" s="46" t="n"/>
      <c r="N290" s="36">
        <f>IFERROR(INDEX(Stage_Type,MATCH(H290,Stage_Names,0)),"")</f>
        <v/>
      </c>
      <c r="O290" s="36">
        <f>IF(OR(H290="",L290=""),"",IF(N290="مفتوح",TODAY()-L290,M290-L290))</f>
        <v/>
      </c>
      <c r="P290" s="36">
        <f>IF(L290="","",TEXT(L290,"YYYY-MM"))</f>
        <v/>
      </c>
      <c r="Q290" s="45" t="n"/>
    </row>
    <row r="291">
      <c r="A291" s="29">
        <f>IF(B291="","",ROW()-2)</f>
        <v/>
      </c>
      <c r="B291" s="43" t="n"/>
      <c r="C291" s="43" t="n"/>
      <c r="D291" s="43" t="n"/>
      <c r="E291" s="43" t="n"/>
      <c r="F291" s="44" t="n"/>
      <c r="G291" s="44" t="n"/>
      <c r="H291" s="44" t="n"/>
      <c r="I291" s="44" t="n"/>
      <c r="J291" s="33">
        <f>IFERROR(INDEX(Stage_Prob,MATCH(H291,Stage_Names,0)),"")</f>
        <v/>
      </c>
      <c r="K291" s="34">
        <f>IF(OR(H291="",I291=""),"",I291*J291)</f>
        <v/>
      </c>
      <c r="L291" s="44" t="n"/>
      <c r="M291" s="44" t="n"/>
      <c r="N291" s="29">
        <f>IFERROR(INDEX(Stage_Type,MATCH(H291,Stage_Names,0)),"")</f>
        <v/>
      </c>
      <c r="O291" s="29">
        <f>IF(OR(H291="",L291=""),"",IF(N291="مفتوح",TODAY()-L291,M291-L291))</f>
        <v/>
      </c>
      <c r="P291" s="29">
        <f>IF(L291="","",TEXT(L291,"YYYY-MM"))</f>
        <v/>
      </c>
      <c r="Q291" s="43" t="n"/>
    </row>
    <row r="292">
      <c r="A292" s="36">
        <f>IF(B292="","",ROW()-2)</f>
        <v/>
      </c>
      <c r="B292" s="45" t="n"/>
      <c r="C292" s="45" t="n"/>
      <c r="D292" s="45" t="n"/>
      <c r="E292" s="45" t="n"/>
      <c r="F292" s="46" t="n"/>
      <c r="G292" s="46" t="n"/>
      <c r="H292" s="46" t="n"/>
      <c r="I292" s="46" t="n"/>
      <c r="J292" s="40">
        <f>IFERROR(INDEX(Stage_Prob,MATCH(H292,Stage_Names,0)),"")</f>
        <v/>
      </c>
      <c r="K292" s="41">
        <f>IF(OR(H292="",I292=""),"",I292*J292)</f>
        <v/>
      </c>
      <c r="L292" s="46" t="n"/>
      <c r="M292" s="46" t="n"/>
      <c r="N292" s="36">
        <f>IFERROR(INDEX(Stage_Type,MATCH(H292,Stage_Names,0)),"")</f>
        <v/>
      </c>
      <c r="O292" s="36">
        <f>IF(OR(H292="",L292=""),"",IF(N292="مفتوح",TODAY()-L292,M292-L292))</f>
        <v/>
      </c>
      <c r="P292" s="36">
        <f>IF(L292="","",TEXT(L292,"YYYY-MM"))</f>
        <v/>
      </c>
      <c r="Q292" s="45" t="n"/>
    </row>
    <row r="293">
      <c r="A293" s="29">
        <f>IF(B293="","",ROW()-2)</f>
        <v/>
      </c>
      <c r="B293" s="43" t="n"/>
      <c r="C293" s="43" t="n"/>
      <c r="D293" s="43" t="n"/>
      <c r="E293" s="43" t="n"/>
      <c r="F293" s="44" t="n"/>
      <c r="G293" s="44" t="n"/>
      <c r="H293" s="44" t="n"/>
      <c r="I293" s="44" t="n"/>
      <c r="J293" s="33">
        <f>IFERROR(INDEX(Stage_Prob,MATCH(H293,Stage_Names,0)),"")</f>
        <v/>
      </c>
      <c r="K293" s="34">
        <f>IF(OR(H293="",I293=""),"",I293*J293)</f>
        <v/>
      </c>
      <c r="L293" s="44" t="n"/>
      <c r="M293" s="44" t="n"/>
      <c r="N293" s="29">
        <f>IFERROR(INDEX(Stage_Type,MATCH(H293,Stage_Names,0)),"")</f>
        <v/>
      </c>
      <c r="O293" s="29">
        <f>IF(OR(H293="",L293=""),"",IF(N293="مفتوح",TODAY()-L293,M293-L293))</f>
        <v/>
      </c>
      <c r="P293" s="29">
        <f>IF(L293="","",TEXT(L293,"YYYY-MM"))</f>
        <v/>
      </c>
      <c r="Q293" s="43" t="n"/>
    </row>
    <row r="294">
      <c r="A294" s="36">
        <f>IF(B294="","",ROW()-2)</f>
        <v/>
      </c>
      <c r="B294" s="45" t="n"/>
      <c r="C294" s="45" t="n"/>
      <c r="D294" s="45" t="n"/>
      <c r="E294" s="45" t="n"/>
      <c r="F294" s="46" t="n"/>
      <c r="G294" s="46" t="n"/>
      <c r="H294" s="46" t="n"/>
      <c r="I294" s="46" t="n"/>
      <c r="J294" s="40">
        <f>IFERROR(INDEX(Stage_Prob,MATCH(H294,Stage_Names,0)),"")</f>
        <v/>
      </c>
      <c r="K294" s="41">
        <f>IF(OR(H294="",I294=""),"",I294*J294)</f>
        <v/>
      </c>
      <c r="L294" s="46" t="n"/>
      <c r="M294" s="46" t="n"/>
      <c r="N294" s="36">
        <f>IFERROR(INDEX(Stage_Type,MATCH(H294,Stage_Names,0)),"")</f>
        <v/>
      </c>
      <c r="O294" s="36">
        <f>IF(OR(H294="",L294=""),"",IF(N294="مفتوح",TODAY()-L294,M294-L294))</f>
        <v/>
      </c>
      <c r="P294" s="36">
        <f>IF(L294="","",TEXT(L294,"YYYY-MM"))</f>
        <v/>
      </c>
      <c r="Q294" s="45" t="n"/>
    </row>
    <row r="295">
      <c r="A295" s="29">
        <f>IF(B295="","",ROW()-2)</f>
        <v/>
      </c>
      <c r="B295" s="43" t="n"/>
      <c r="C295" s="43" t="n"/>
      <c r="D295" s="43" t="n"/>
      <c r="E295" s="43" t="n"/>
      <c r="F295" s="44" t="n"/>
      <c r="G295" s="44" t="n"/>
      <c r="H295" s="44" t="n"/>
      <c r="I295" s="44" t="n"/>
      <c r="J295" s="33">
        <f>IFERROR(INDEX(Stage_Prob,MATCH(H295,Stage_Names,0)),"")</f>
        <v/>
      </c>
      <c r="K295" s="34">
        <f>IF(OR(H295="",I295=""),"",I295*J295)</f>
        <v/>
      </c>
      <c r="L295" s="44" t="n"/>
      <c r="M295" s="44" t="n"/>
      <c r="N295" s="29">
        <f>IFERROR(INDEX(Stage_Type,MATCH(H295,Stage_Names,0)),"")</f>
        <v/>
      </c>
      <c r="O295" s="29">
        <f>IF(OR(H295="",L295=""),"",IF(N295="مفتوح",TODAY()-L295,M295-L295))</f>
        <v/>
      </c>
      <c r="P295" s="29">
        <f>IF(L295="","",TEXT(L295,"YYYY-MM"))</f>
        <v/>
      </c>
      <c r="Q295" s="43" t="n"/>
    </row>
    <row r="296">
      <c r="A296" s="36">
        <f>IF(B296="","",ROW()-2)</f>
        <v/>
      </c>
      <c r="B296" s="45" t="n"/>
      <c r="C296" s="45" t="n"/>
      <c r="D296" s="45" t="n"/>
      <c r="E296" s="45" t="n"/>
      <c r="F296" s="46" t="n"/>
      <c r="G296" s="46" t="n"/>
      <c r="H296" s="46" t="n"/>
      <c r="I296" s="46" t="n"/>
      <c r="J296" s="40">
        <f>IFERROR(INDEX(Stage_Prob,MATCH(H296,Stage_Names,0)),"")</f>
        <v/>
      </c>
      <c r="K296" s="41">
        <f>IF(OR(H296="",I296=""),"",I296*J296)</f>
        <v/>
      </c>
      <c r="L296" s="46" t="n"/>
      <c r="M296" s="46" t="n"/>
      <c r="N296" s="36">
        <f>IFERROR(INDEX(Stage_Type,MATCH(H296,Stage_Names,0)),"")</f>
        <v/>
      </c>
      <c r="O296" s="36">
        <f>IF(OR(H296="",L296=""),"",IF(N296="مفتوح",TODAY()-L296,M296-L296))</f>
        <v/>
      </c>
      <c r="P296" s="36">
        <f>IF(L296="","",TEXT(L296,"YYYY-MM"))</f>
        <v/>
      </c>
      <c r="Q296" s="45" t="n"/>
    </row>
    <row r="297">
      <c r="A297" s="29">
        <f>IF(B297="","",ROW()-2)</f>
        <v/>
      </c>
      <c r="B297" s="43" t="n"/>
      <c r="C297" s="43" t="n"/>
      <c r="D297" s="43" t="n"/>
      <c r="E297" s="43" t="n"/>
      <c r="F297" s="44" t="n"/>
      <c r="G297" s="44" t="n"/>
      <c r="H297" s="44" t="n"/>
      <c r="I297" s="44" t="n"/>
      <c r="J297" s="33">
        <f>IFERROR(INDEX(Stage_Prob,MATCH(H297,Stage_Names,0)),"")</f>
        <v/>
      </c>
      <c r="K297" s="34">
        <f>IF(OR(H297="",I297=""),"",I297*J297)</f>
        <v/>
      </c>
      <c r="L297" s="44" t="n"/>
      <c r="M297" s="44" t="n"/>
      <c r="N297" s="29">
        <f>IFERROR(INDEX(Stage_Type,MATCH(H297,Stage_Names,0)),"")</f>
        <v/>
      </c>
      <c r="O297" s="29">
        <f>IF(OR(H297="",L297=""),"",IF(N297="مفتوح",TODAY()-L297,M297-L297))</f>
        <v/>
      </c>
      <c r="P297" s="29">
        <f>IF(L297="","",TEXT(L297,"YYYY-MM"))</f>
        <v/>
      </c>
      <c r="Q297" s="43" t="n"/>
    </row>
    <row r="298">
      <c r="A298" s="36">
        <f>IF(B298="","",ROW()-2)</f>
        <v/>
      </c>
      <c r="B298" s="45" t="n"/>
      <c r="C298" s="45" t="n"/>
      <c r="D298" s="45" t="n"/>
      <c r="E298" s="45" t="n"/>
      <c r="F298" s="46" t="n"/>
      <c r="G298" s="46" t="n"/>
      <c r="H298" s="46" t="n"/>
      <c r="I298" s="46" t="n"/>
      <c r="J298" s="40">
        <f>IFERROR(INDEX(Stage_Prob,MATCH(H298,Stage_Names,0)),"")</f>
        <v/>
      </c>
      <c r="K298" s="41">
        <f>IF(OR(H298="",I298=""),"",I298*J298)</f>
        <v/>
      </c>
      <c r="L298" s="46" t="n"/>
      <c r="M298" s="46" t="n"/>
      <c r="N298" s="36">
        <f>IFERROR(INDEX(Stage_Type,MATCH(H298,Stage_Names,0)),"")</f>
        <v/>
      </c>
      <c r="O298" s="36">
        <f>IF(OR(H298="",L298=""),"",IF(N298="مفتوح",TODAY()-L298,M298-L298))</f>
        <v/>
      </c>
      <c r="P298" s="36">
        <f>IF(L298="","",TEXT(L298,"YYYY-MM"))</f>
        <v/>
      </c>
      <c r="Q298" s="45" t="n"/>
    </row>
    <row r="299">
      <c r="A299" s="29">
        <f>IF(B299="","",ROW()-2)</f>
        <v/>
      </c>
      <c r="B299" s="43" t="n"/>
      <c r="C299" s="43" t="n"/>
      <c r="D299" s="43" t="n"/>
      <c r="E299" s="43" t="n"/>
      <c r="F299" s="44" t="n"/>
      <c r="G299" s="44" t="n"/>
      <c r="H299" s="44" t="n"/>
      <c r="I299" s="44" t="n"/>
      <c r="J299" s="33">
        <f>IFERROR(INDEX(Stage_Prob,MATCH(H299,Stage_Names,0)),"")</f>
        <v/>
      </c>
      <c r="K299" s="34">
        <f>IF(OR(H299="",I299=""),"",I299*J299)</f>
        <v/>
      </c>
      <c r="L299" s="44" t="n"/>
      <c r="M299" s="44" t="n"/>
      <c r="N299" s="29">
        <f>IFERROR(INDEX(Stage_Type,MATCH(H299,Stage_Names,0)),"")</f>
        <v/>
      </c>
      <c r="O299" s="29">
        <f>IF(OR(H299="",L299=""),"",IF(N299="مفتوح",TODAY()-L299,M299-L299))</f>
        <v/>
      </c>
      <c r="P299" s="29">
        <f>IF(L299="","",TEXT(L299,"YYYY-MM"))</f>
        <v/>
      </c>
      <c r="Q299" s="43" t="n"/>
    </row>
    <row r="300">
      <c r="A300" s="36">
        <f>IF(B300="","",ROW()-2)</f>
        <v/>
      </c>
      <c r="B300" s="45" t="n"/>
      <c r="C300" s="45" t="n"/>
      <c r="D300" s="45" t="n"/>
      <c r="E300" s="45" t="n"/>
      <c r="F300" s="46" t="n"/>
      <c r="G300" s="46" t="n"/>
      <c r="H300" s="46" t="n"/>
      <c r="I300" s="46" t="n"/>
      <c r="J300" s="40">
        <f>IFERROR(INDEX(Stage_Prob,MATCH(H300,Stage_Names,0)),"")</f>
        <v/>
      </c>
      <c r="K300" s="41">
        <f>IF(OR(H300="",I300=""),"",I300*J300)</f>
        <v/>
      </c>
      <c r="L300" s="46" t="n"/>
      <c r="M300" s="46" t="n"/>
      <c r="N300" s="36">
        <f>IFERROR(INDEX(Stage_Type,MATCH(H300,Stage_Names,0)),"")</f>
        <v/>
      </c>
      <c r="O300" s="36">
        <f>IF(OR(H300="",L300=""),"",IF(N300="مفتوح",TODAY()-L300,M300-L300))</f>
        <v/>
      </c>
      <c r="P300" s="36">
        <f>IF(L300="","",TEXT(L300,"YYYY-MM"))</f>
        <v/>
      </c>
      <c r="Q300" s="45" t="n"/>
    </row>
    <row r="301">
      <c r="A301" s="29">
        <f>IF(B301="","",ROW()-2)</f>
        <v/>
      </c>
      <c r="B301" s="43" t="n"/>
      <c r="C301" s="43" t="n"/>
      <c r="D301" s="43" t="n"/>
      <c r="E301" s="43" t="n"/>
      <c r="F301" s="44" t="n"/>
      <c r="G301" s="44" t="n"/>
      <c r="H301" s="44" t="n"/>
      <c r="I301" s="44" t="n"/>
      <c r="J301" s="33">
        <f>IFERROR(INDEX(Stage_Prob,MATCH(H301,Stage_Names,0)),"")</f>
        <v/>
      </c>
      <c r="K301" s="34">
        <f>IF(OR(H301="",I301=""),"",I301*J301)</f>
        <v/>
      </c>
      <c r="L301" s="44" t="n"/>
      <c r="M301" s="44" t="n"/>
      <c r="N301" s="29">
        <f>IFERROR(INDEX(Stage_Type,MATCH(H301,Stage_Names,0)),"")</f>
        <v/>
      </c>
      <c r="O301" s="29">
        <f>IF(OR(H301="",L301=""),"",IF(N301="مفتوح",TODAY()-L301,M301-L301))</f>
        <v/>
      </c>
      <c r="P301" s="29">
        <f>IF(L301="","",TEXT(L301,"YYYY-MM"))</f>
        <v/>
      </c>
      <c r="Q301" s="43" t="n"/>
    </row>
    <row r="302">
      <c r="A302" s="36">
        <f>IF(B302="","",ROW()-2)</f>
        <v/>
      </c>
      <c r="B302" s="45" t="n"/>
      <c r="C302" s="45" t="n"/>
      <c r="D302" s="45" t="n"/>
      <c r="E302" s="45" t="n"/>
      <c r="F302" s="46" t="n"/>
      <c r="G302" s="46" t="n"/>
      <c r="H302" s="46" t="n"/>
      <c r="I302" s="46" t="n"/>
      <c r="J302" s="40">
        <f>IFERROR(INDEX(Stage_Prob,MATCH(H302,Stage_Names,0)),"")</f>
        <v/>
      </c>
      <c r="K302" s="41">
        <f>IF(OR(H302="",I302=""),"",I302*J302)</f>
        <v/>
      </c>
      <c r="L302" s="46" t="n"/>
      <c r="M302" s="46" t="n"/>
      <c r="N302" s="36">
        <f>IFERROR(INDEX(Stage_Type,MATCH(H302,Stage_Names,0)),"")</f>
        <v/>
      </c>
      <c r="O302" s="36">
        <f>IF(OR(H302="",L302=""),"",IF(N302="مفتوح",TODAY()-L302,M302-L302))</f>
        <v/>
      </c>
      <c r="P302" s="36">
        <f>IF(L302="","",TEXT(L302,"YYYY-MM"))</f>
        <v/>
      </c>
      <c r="Q302" s="45" t="n"/>
    </row>
    <row r="304">
      <c r="B304" s="47" t="inlineStr">
        <is>
          <t>ملاحظة: تم تجهيز 300 صف بالمعادلات جاهزة للاستخدام — أضف بياناتك في أي صف فارغ.</t>
        </is>
      </c>
    </row>
  </sheetData>
  <autoFilter ref="A2:Q302"/>
  <mergeCells count="1">
    <mergeCell ref="A1:Q1"/>
  </mergeCells>
  <conditionalFormatting sqref="H3:H302">
    <cfRule type="cellIs" priority="1" operator="equal" dxfId="0">
      <formula>"فوز - مغلقة (Won)"</formula>
    </cfRule>
    <cfRule type="cellIs" priority="2" operator="equal" dxfId="1">
      <formula>"خسارة - مغلقة (Lost)"</formula>
    </cfRule>
  </conditionalFormatting>
  <dataValidations count="3">
    <dataValidation sqref="H3:H302" showDropDown="0" showInputMessage="0" showErrorMessage="0" allowBlank="1" errorTitle="قيمة غير صحيحة" error="اختر مرحلة من القائمة" type="list">
      <formula1>Stage_Names</formula1>
    </dataValidation>
    <dataValidation sqref="F3:F302" showDropDown="0" showInputMessage="0" showErrorMessage="0" allowBlank="1" type="list">
      <formula1>Source_List</formula1>
    </dataValidation>
    <dataValidation sqref="G3:G302" showDropDown="0" showInputMessage="0" showErrorMessage="0" allowBlank="1" type="list">
      <formula1>Rep_List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2F2F2"/>
    <outlinePr summaryBelow="1" summaryRight="1"/>
    <pageSetUpPr/>
  </sheetPr>
  <dimension ref="A1:D29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14" customWidth="1" min="4" max="4"/>
    <col width="16" customWidth="1" min="5" max="5"/>
    <col width="4" customWidth="1" min="6" max="6"/>
    <col width="22" customWidth="1" min="7" max="7"/>
  </cols>
  <sheetData>
    <row r="1" ht="26" customHeight="1">
      <c r="A1" s="48" t="inlineStr">
        <is>
          <t>إعدادات القمع البيعي — مراحل الصفقة (Pipeline Stages)</t>
        </is>
      </c>
    </row>
    <row r="3" ht="28" customHeight="1">
      <c r="A3" s="28" t="inlineStr">
        <is>
          <t>الترتيب</t>
        </is>
      </c>
      <c r="B3" s="28" t="inlineStr">
        <is>
          <t>اسم المرحلة (Stage)</t>
        </is>
      </c>
      <c r="C3" s="28" t="inlineStr">
        <is>
          <t>الاحتمالية الافتراضية %</t>
        </is>
      </c>
      <c r="D3" s="28" t="inlineStr">
        <is>
          <t>نوع المرحلة</t>
        </is>
      </c>
    </row>
    <row r="4">
      <c r="A4" s="49" t="n">
        <v>1</v>
      </c>
      <c r="B4" s="49" t="inlineStr">
        <is>
          <t>جديد (New)</t>
        </is>
      </c>
      <c r="C4" s="50" t="n">
        <v>0.1</v>
      </c>
      <c r="D4" s="49" t="inlineStr">
        <is>
          <t>مفتوح</t>
        </is>
      </c>
    </row>
    <row r="5">
      <c r="A5" s="49" t="n">
        <v>2</v>
      </c>
      <c r="B5" s="49" t="inlineStr">
        <is>
          <t>تم التواصل (Contacted)</t>
        </is>
      </c>
      <c r="C5" s="50" t="n">
        <v>0.2</v>
      </c>
      <c r="D5" s="49" t="inlineStr">
        <is>
          <t>مفتوح</t>
        </is>
      </c>
    </row>
    <row r="6">
      <c r="A6" s="49" t="n">
        <v>3</v>
      </c>
      <c r="B6" s="49" t="inlineStr">
        <is>
          <t>مؤهل (Qualified)</t>
        </is>
      </c>
      <c r="C6" s="50" t="n">
        <v>0.4</v>
      </c>
      <c r="D6" s="49" t="inlineStr">
        <is>
          <t>مفتوح</t>
        </is>
      </c>
    </row>
    <row r="7">
      <c r="A7" s="49" t="n">
        <v>4</v>
      </c>
      <c r="B7" s="49" t="inlineStr">
        <is>
          <t>عرض سعر (Proposal)</t>
        </is>
      </c>
      <c r="C7" s="50" t="n">
        <v>0.6</v>
      </c>
      <c r="D7" s="49" t="inlineStr">
        <is>
          <t>مفتوح</t>
        </is>
      </c>
    </row>
    <row r="8">
      <c r="A8" s="49" t="n">
        <v>5</v>
      </c>
      <c r="B8" s="49" t="inlineStr">
        <is>
          <t>تفاوض (Negotiation)</t>
        </is>
      </c>
      <c r="C8" s="50" t="n">
        <v>0.8</v>
      </c>
      <c r="D8" s="49" t="inlineStr">
        <is>
          <t>مفتوح</t>
        </is>
      </c>
    </row>
    <row r="9">
      <c r="A9" s="49" t="n">
        <v>6</v>
      </c>
      <c r="B9" s="49" t="inlineStr">
        <is>
          <t>فوز - مغلقة (Won)</t>
        </is>
      </c>
      <c r="C9" s="50" t="n">
        <v>1</v>
      </c>
      <c r="D9" s="49" t="inlineStr">
        <is>
          <t>مغلق-فوز</t>
        </is>
      </c>
    </row>
    <row r="10">
      <c r="A10" s="49" t="n">
        <v>7</v>
      </c>
      <c r="B10" s="49" t="inlineStr">
        <is>
          <t>خسارة - مغلقة (Lost)</t>
        </is>
      </c>
      <c r="C10" s="50" t="n">
        <v>0</v>
      </c>
      <c r="D10" s="49" t="inlineStr">
        <is>
          <t>مغلق-خسارة</t>
        </is>
      </c>
    </row>
    <row r="13">
      <c r="A13" s="51" t="inlineStr">
        <is>
          <t>مصادر الليدز (Lead Sources)</t>
        </is>
      </c>
    </row>
    <row r="14">
      <c r="A14" s="49" t="inlineStr">
        <is>
          <t>الموقع الإلكتروني (Website)</t>
        </is>
      </c>
    </row>
    <row r="15">
      <c r="A15" s="49" t="inlineStr">
        <is>
          <t>فيسبوك (Facebook)</t>
        </is>
      </c>
    </row>
    <row r="16">
      <c r="A16" s="49" t="inlineStr">
        <is>
          <t>إنستجرام (Instagram)</t>
        </is>
      </c>
    </row>
    <row r="17">
      <c r="A17" s="49" t="inlineStr">
        <is>
          <t>إحالة عميل (Referral)</t>
        </is>
      </c>
    </row>
    <row r="18">
      <c r="A18" s="49" t="inlineStr">
        <is>
          <t>اتصال بارد (Cold Call)</t>
        </is>
      </c>
    </row>
    <row r="19">
      <c r="A19" s="49" t="inlineStr">
        <is>
          <t>معرض / فعالية (Event)</t>
        </is>
      </c>
    </row>
    <row r="20">
      <c r="A20" s="49" t="inlineStr">
        <is>
          <t>واتساب (WhatsApp)</t>
        </is>
      </c>
    </row>
    <row r="21">
      <c r="A21" s="49" t="inlineStr">
        <is>
          <t>أخرى (Other)</t>
        </is>
      </c>
    </row>
    <row r="24">
      <c r="A24" s="51" t="inlineStr">
        <is>
          <t>فريق المبيعات (Sales Reps)</t>
        </is>
      </c>
    </row>
    <row r="25">
      <c r="A25" s="49" t="inlineStr">
        <is>
          <t>أحمد سمير</t>
        </is>
      </c>
    </row>
    <row r="26">
      <c r="A26" s="49" t="inlineStr">
        <is>
          <t>سارة عادل</t>
        </is>
      </c>
    </row>
    <row r="27">
      <c r="A27" s="49" t="inlineStr">
        <is>
          <t>محمد فتحي</t>
        </is>
      </c>
    </row>
    <row r="28">
      <c r="A28" s="49" t="inlineStr">
        <is>
          <t>نور الدين حسن</t>
        </is>
      </c>
    </row>
    <row r="29">
      <c r="A29" s="49" t="inlineStr">
        <is>
          <t>يوسف كامل</t>
        </is>
      </c>
    </row>
  </sheetData>
  <mergeCells count="16">
    <mergeCell ref="A1:D1"/>
    <mergeCell ref="A20:B20"/>
    <mergeCell ref="A21:B21"/>
    <mergeCell ref="A16:B16"/>
    <mergeCell ref="A24:B24"/>
    <mergeCell ref="A15:B15"/>
    <mergeCell ref="A26:B26"/>
    <mergeCell ref="A25:B25"/>
    <mergeCell ref="A29:B29"/>
    <mergeCell ref="A19:B19"/>
    <mergeCell ref="A28:B28"/>
    <mergeCell ref="A13:B13"/>
    <mergeCell ref="A14:B14"/>
    <mergeCell ref="A17:B17"/>
    <mergeCell ref="A18:B18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2026-08-27T11:49:48Z</dcterms:created>
  <dcterms:modified xsi:type="dcterms:W3CDTF">2026-08-27T11:49:48Z</dcterms:modified>
</cp:coreProperties>
</file>